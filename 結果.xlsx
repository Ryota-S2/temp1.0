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pre\PycharmProjects\sotukenex\sotsukengit\sample\sotsukengithub\sotsuchan\"/>
    </mc:Choice>
  </mc:AlternateContent>
  <xr:revisionPtr revIDLastSave="0" documentId="13_ncr:1_{ADFE19EB-EF8A-4879-B129-39586F4F7559}" xr6:coauthVersionLast="47" xr6:coauthVersionMax="47" xr10:uidLastSave="{00000000-0000-0000-0000-000000000000}"/>
  <bookViews>
    <workbookView xWindow="120" yWindow="1200" windowWidth="12108" windowHeight="10824" xr2:uid="{B7FB54A7-9BC4-47B2-B018-5A5C59A77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0" i="1" l="1"/>
  <c r="E205" i="1"/>
  <c r="E69" i="1"/>
  <c r="E154" i="1"/>
  <c r="E171" i="1"/>
  <c r="E324" i="1"/>
  <c r="E307" i="1"/>
  <c r="E273" i="1"/>
  <c r="E256" i="1"/>
  <c r="E239" i="1"/>
  <c r="E222" i="1"/>
  <c r="E188" i="1"/>
  <c r="E137" i="1"/>
  <c r="E120" i="1"/>
  <c r="E103" i="1"/>
  <c r="E86" i="1"/>
  <c r="G67" i="1"/>
  <c r="F67" i="1"/>
  <c r="G66" i="1"/>
  <c r="F66" i="1"/>
  <c r="G64" i="1"/>
  <c r="F64" i="1"/>
  <c r="G63" i="1"/>
  <c r="G65" i="1" s="1"/>
  <c r="F63" i="1"/>
  <c r="F65" i="1" s="1"/>
  <c r="G60" i="1"/>
  <c r="F60" i="1"/>
  <c r="G59" i="1"/>
  <c r="F59" i="1"/>
  <c r="G57" i="1"/>
  <c r="F57" i="1"/>
  <c r="G56" i="1"/>
  <c r="G58" i="1" s="1"/>
  <c r="F56" i="1"/>
  <c r="F58" i="1" s="1"/>
  <c r="G53" i="1"/>
  <c r="F53" i="1"/>
  <c r="G52" i="1"/>
  <c r="F52" i="1"/>
  <c r="G50" i="1"/>
  <c r="F50" i="1"/>
  <c r="G49" i="1"/>
  <c r="G51" i="1" s="1"/>
  <c r="F49" i="1"/>
  <c r="F51" i="1" s="1"/>
  <c r="G46" i="1"/>
  <c r="F46" i="1"/>
  <c r="G45" i="1"/>
  <c r="F45" i="1"/>
  <c r="G43" i="1"/>
  <c r="F43" i="1"/>
  <c r="G42" i="1"/>
  <c r="G44" i="1" s="1"/>
  <c r="F42" i="1"/>
  <c r="F44" i="1" s="1"/>
  <c r="G39" i="1"/>
  <c r="F39" i="1"/>
  <c r="G38" i="1"/>
  <c r="F38" i="1"/>
  <c r="G36" i="1"/>
  <c r="F36" i="1"/>
  <c r="G35" i="1"/>
  <c r="G37" i="1" s="1"/>
  <c r="F35" i="1"/>
  <c r="F37" i="1" s="1"/>
  <c r="G32" i="1"/>
  <c r="F32" i="1"/>
  <c r="G31" i="1"/>
  <c r="F31" i="1"/>
  <c r="G29" i="1"/>
  <c r="F29" i="1"/>
  <c r="G28" i="1"/>
  <c r="G30" i="1" s="1"/>
  <c r="F28" i="1"/>
  <c r="F30" i="1" s="1"/>
  <c r="G19" i="1"/>
  <c r="F19" i="1"/>
  <c r="G18" i="1"/>
  <c r="F18" i="1"/>
  <c r="G16" i="1"/>
  <c r="F16" i="1"/>
  <c r="G15" i="1"/>
  <c r="G17" i="1" s="1"/>
  <c r="F15" i="1"/>
  <c r="F17" i="1" s="1"/>
  <c r="G7" i="1"/>
  <c r="G6" i="1"/>
  <c r="G5" i="1"/>
  <c r="G4" i="1"/>
  <c r="G3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<sst xmlns="http://schemas.openxmlformats.org/spreadsheetml/2006/main" count="401" uniqueCount="111">
  <si>
    <t>faithfulness</t>
    <phoneticPr fontId="1"/>
  </si>
  <si>
    <t>コサイン類似度</t>
    <rPh sb="4" eb="7">
      <t>ルイジド</t>
    </rPh>
    <phoneticPr fontId="1"/>
  </si>
  <si>
    <t>解説文の修正なし</t>
    <rPh sb="0" eb="3">
      <t>カイセツブン</t>
    </rPh>
    <rPh sb="4" eb="6">
      <t>シュウセイ</t>
    </rPh>
    <phoneticPr fontId="1"/>
  </si>
  <si>
    <t>最大</t>
    <rPh sb="0" eb="2">
      <t>サイダイ</t>
    </rPh>
    <phoneticPr fontId="1"/>
  </si>
  <si>
    <t>最小</t>
    <rPh sb="0" eb="2">
      <t>サイショウ</t>
    </rPh>
    <phoneticPr fontId="1"/>
  </si>
  <si>
    <t>範囲</t>
    <rPh sb="0" eb="2">
      <t>ハンイ</t>
    </rPh>
    <phoneticPr fontId="1"/>
  </si>
  <si>
    <t>平均</t>
    <rPh sb="0" eb="2">
      <t>ヘイキン</t>
    </rPh>
    <phoneticPr fontId="1"/>
  </si>
  <si>
    <t>cos0.0</t>
    <phoneticPr fontId="1"/>
  </si>
  <si>
    <t>分散</t>
    <rPh sb="0" eb="2">
      <t>ブンサン</t>
    </rPh>
    <phoneticPr fontId="1"/>
  </si>
  <si>
    <t>cos0.2</t>
    <phoneticPr fontId="1"/>
  </si>
  <si>
    <t>cos0.4</t>
    <phoneticPr fontId="1"/>
  </si>
  <si>
    <t>cos0.6</t>
    <phoneticPr fontId="1"/>
  </si>
  <si>
    <t>cos1.0</t>
    <phoneticPr fontId="1"/>
  </si>
  <si>
    <t>cos1.2</t>
    <phoneticPr fontId="1"/>
  </si>
  <si>
    <t>cos1.4</t>
    <phoneticPr fontId="1"/>
  </si>
  <si>
    <t>cos^3 1.4</t>
    <phoneticPr fontId="1"/>
  </si>
  <si>
    <t>cos^3 1.2</t>
    <phoneticPr fontId="1"/>
  </si>
  <si>
    <t>cos^3 1.0</t>
    <phoneticPr fontId="1"/>
  </si>
  <si>
    <t>cos^3 0.8</t>
    <phoneticPr fontId="1"/>
  </si>
  <si>
    <t>cos^3 0.6</t>
    <phoneticPr fontId="1"/>
  </si>
  <si>
    <t>cos^3 0.4</t>
    <phoneticPr fontId="1"/>
  </si>
  <si>
    <t>cos^3 0.2</t>
    <phoneticPr fontId="1"/>
  </si>
  <si>
    <t>cos^3 0.0</t>
    <phoneticPr fontId="1"/>
  </si>
  <si>
    <t>shusei1.4</t>
    <phoneticPr fontId="1"/>
  </si>
  <si>
    <t>shusei1.2</t>
    <phoneticPr fontId="1"/>
  </si>
  <si>
    <t>shusei1.0</t>
    <phoneticPr fontId="1"/>
  </si>
  <si>
    <t>shusei0.8</t>
    <phoneticPr fontId="1"/>
  </si>
  <si>
    <t>shusei0.6</t>
    <phoneticPr fontId="1"/>
  </si>
  <si>
    <t>shusei0.4</t>
    <phoneticPr fontId="1"/>
  </si>
  <si>
    <t>shusei0.2</t>
    <phoneticPr fontId="1"/>
  </si>
  <si>
    <t>shusei0.0</t>
    <phoneticPr fontId="1"/>
  </si>
  <si>
    <t>cos0.8p34</t>
    <phoneticPr fontId="1"/>
  </si>
  <si>
    <t>cos0.8p25</t>
    <phoneticPr fontId="1"/>
  </si>
  <si>
    <t>cos0.0p34</t>
    <phoneticPr fontId="1"/>
  </si>
  <si>
    <t>問題 1: 1.0000</t>
  </si>
  <si>
    <t>問題 3: 0.0000</t>
  </si>
  <si>
    <t>問題 4: 1.0000</t>
  </si>
  <si>
    <t>問題 5: 1.0000</t>
  </si>
  <si>
    <t>問題 6: 1.0000</t>
  </si>
  <si>
    <t>問題 7: 1.0000</t>
  </si>
  <si>
    <t>問題 8: 1.0000</t>
  </si>
  <si>
    <t>問題 11: 1.0000</t>
  </si>
  <si>
    <t>問題 13: 0.0000</t>
  </si>
  <si>
    <t>問題 14: 1.0000</t>
  </si>
  <si>
    <t>問題 15: 1.0000</t>
  </si>
  <si>
    <t>平均Faithfulnessスコア: 0.6000</t>
  </si>
  <si>
    <t>cos0.2p34</t>
    <phoneticPr fontId="1"/>
  </si>
  <si>
    <t>Faithfulnessスコア一覧</t>
  </si>
  <si>
    <t>問題 2: 1.0000</t>
  </si>
  <si>
    <t>問題 3: 1.0000</t>
  </si>
  <si>
    <t>問題 9: 1.0000</t>
  </si>
  <si>
    <t>問題 10: 0.5000</t>
  </si>
  <si>
    <t>問題 12: 1.0000</t>
  </si>
  <si>
    <t>問題 13: 1.0000</t>
  </si>
  <si>
    <t>平均Faithfulnessスコア: 0.9667</t>
  </si>
  <si>
    <t>平均コサイン類似度: 1.0000</t>
  </si>
  <si>
    <t>cos0.4p34</t>
    <phoneticPr fontId="1"/>
  </si>
  <si>
    <t>問題 10: 1.0000</t>
  </si>
  <si>
    <t>平均Faithfulnessスコア: 1.0000</t>
  </si>
  <si>
    <t>平均コサイン類似度: 0.9839</t>
  </si>
  <si>
    <t>cos0.6p34</t>
    <phoneticPr fontId="1"/>
  </si>
  <si>
    <t>問題 4: 0.0000</t>
  </si>
  <si>
    <t>問題 8: 0.0000</t>
  </si>
  <si>
    <t>平均Faithfulnessスコア: 0.8000</t>
  </si>
  <si>
    <t>平均コサイン類似度: 0.9702</t>
  </si>
  <si>
    <t>問題 11: 0.0000</t>
  </si>
  <si>
    <t>問題 15: 0.0000</t>
  </si>
  <si>
    <t>平均Faithfulnessスコア: 0.6667</t>
  </si>
  <si>
    <t>cos1.0p34</t>
    <phoneticPr fontId="1"/>
  </si>
  <si>
    <t>問題 5: 0.0000</t>
  </si>
  <si>
    <t>平均Faithfulnessスコア: 0.9333</t>
  </si>
  <si>
    <t>cos0.0p35</t>
    <phoneticPr fontId="1"/>
  </si>
  <si>
    <t>問題 12: 0.5000</t>
  </si>
  <si>
    <t>問題 15: 0.5000</t>
  </si>
  <si>
    <t>cos0.2p35</t>
    <phoneticPr fontId="1"/>
  </si>
  <si>
    <t>問題 3: 0.5000</t>
  </si>
  <si>
    <t>問題 4: 0.5000</t>
  </si>
  <si>
    <t>問題 5: 0.5000</t>
  </si>
  <si>
    <t>問題 9: 0.5000</t>
  </si>
  <si>
    <t>問題 13: 0.5000</t>
  </si>
  <si>
    <t>平均Faithfulnessスコア: 0.8333</t>
  </si>
  <si>
    <t>cos0.4p35</t>
    <phoneticPr fontId="1"/>
  </si>
  <si>
    <t>問題 14: 0.0000</t>
  </si>
  <si>
    <t>平均Faithfulnessスコア: 0.8667</t>
  </si>
  <si>
    <t>平均コサイン類似度: 0.9585</t>
  </si>
  <si>
    <t>cos0.6p35</t>
    <phoneticPr fontId="1"/>
  </si>
  <si>
    <t>問題 6: 0.5000</t>
  </si>
  <si>
    <t>問題 8: 0.5000</t>
  </si>
  <si>
    <t>平均コサイン類似度: 0.9333</t>
  </si>
  <si>
    <t>cos0.8p35</t>
    <phoneticPr fontId="1"/>
  </si>
  <si>
    <t>平均コサイン類似度: 0.8627</t>
  </si>
  <si>
    <t>問題 3: 1.0000</t>
    <phoneticPr fontId="1"/>
  </si>
  <si>
    <t>cos1.0p35</t>
    <phoneticPr fontId="1"/>
  </si>
  <si>
    <t>問題 11: 0.5000</t>
  </si>
  <si>
    <t>平均コサイン類似度: 0.9021</t>
  </si>
  <si>
    <t>cos0.0p129</t>
    <phoneticPr fontId="1"/>
  </si>
  <si>
    <t>平均コサイン類似度: 0.9907</t>
  </si>
  <si>
    <t>cos0.2p129</t>
    <phoneticPr fontId="1"/>
  </si>
  <si>
    <t>平均コサイン類似度: 0.7709</t>
  </si>
  <si>
    <t>cos0.4p129</t>
    <phoneticPr fontId="1"/>
  </si>
  <si>
    <t>平均コサイン類似度: 0.8665</t>
  </si>
  <si>
    <t>cos0.6p129</t>
    <phoneticPr fontId="1"/>
  </si>
  <si>
    <t>平均コサイン類似度: 0.4903</t>
  </si>
  <si>
    <t>cos0.8p129</t>
    <phoneticPr fontId="1"/>
  </si>
  <si>
    <t>平均コサイン類似度: 0.5405</t>
  </si>
  <si>
    <t>cos1.0p129</t>
    <phoneticPr fontId="1"/>
  </si>
  <si>
    <t>平均コサイン類似度: 0.4971</t>
  </si>
  <si>
    <t>p25</t>
  </si>
  <si>
    <t>p34</t>
  </si>
  <si>
    <t>p35</t>
  </si>
  <si>
    <t>p129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</si>
</sst>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游明朝"/>
      <family val="1"/>
      <charset val="128"/>
    </font>
    <font>
      <sz val="8"/>
      <color rgb="FF0A0A0A"/>
      <name val="Courier New"/>
      <family val="3"/>
    </font>
    <font>
      <sz val="18"/>
      <color rgb="FF000000"/>
      <name val="Aptos"/>
      <family val="2"/>
    </font>
    <font>
      <b/>
      <sz val="10.5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 readingOrder="1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3753E-6BE3-4B8B-8F7B-7410F06DF673}">
  <dimension ref="A1:O338"/>
  <sheetViews>
    <sheetView tabSelected="1" topLeftCell="H105" zoomScale="86" workbookViewId="0">
      <selection activeCell="S44" sqref="S44"/>
    </sheetView>
  </sheetViews>
  <sheetFormatPr defaultRowHeight="18" x14ac:dyDescent="0.45"/>
  <cols>
    <col min="6" max="6" width="11.796875" customWidth="1"/>
  </cols>
  <sheetData>
    <row r="1" spans="1:15" x14ac:dyDescent="0.45">
      <c r="A1" t="s">
        <v>32</v>
      </c>
      <c r="B1" t="s">
        <v>2</v>
      </c>
      <c r="I1" t="s">
        <v>33</v>
      </c>
    </row>
    <row r="2" spans="1:15" x14ac:dyDescent="0.45">
      <c r="B2" t="s">
        <v>0</v>
      </c>
      <c r="C2" t="s">
        <v>1</v>
      </c>
      <c r="E2" t="s">
        <v>0</v>
      </c>
      <c r="G2" t="s">
        <v>1</v>
      </c>
      <c r="I2" t="s">
        <v>0</v>
      </c>
      <c r="J2" t="s">
        <v>1</v>
      </c>
      <c r="L2" t="s">
        <v>71</v>
      </c>
      <c r="O2" t="s">
        <v>95</v>
      </c>
    </row>
    <row r="3" spans="1:15" x14ac:dyDescent="0.45">
      <c r="B3">
        <v>1</v>
      </c>
      <c r="C3">
        <v>0.61919408023575395</v>
      </c>
      <c r="E3" t="s">
        <v>3</v>
      </c>
      <c r="F3">
        <f>MAX(B3:B12)</f>
        <v>1</v>
      </c>
      <c r="G3">
        <f>MAX(C3:C7)</f>
        <v>0.69647194919173305</v>
      </c>
      <c r="I3" s="1">
        <v>1</v>
      </c>
      <c r="J3" s="1">
        <v>1</v>
      </c>
      <c r="L3" s="4" t="s">
        <v>47</v>
      </c>
      <c r="O3" s="4" t="s">
        <v>47</v>
      </c>
    </row>
    <row r="4" spans="1:15" x14ac:dyDescent="0.45">
      <c r="B4" s="1">
        <v>0.5</v>
      </c>
      <c r="C4">
        <v>0.57022291220772903</v>
      </c>
      <c r="E4" t="s">
        <v>4</v>
      </c>
      <c r="F4">
        <f>MIN(B3:B12)</f>
        <v>0</v>
      </c>
      <c r="G4">
        <f>MIN(C3:C7)</f>
        <v>0.49976020124576598</v>
      </c>
      <c r="I4" s="1">
        <v>0</v>
      </c>
      <c r="L4" s="1" t="s">
        <v>34</v>
      </c>
      <c r="O4" s="1" t="s">
        <v>34</v>
      </c>
    </row>
    <row r="5" spans="1:15" x14ac:dyDescent="0.45">
      <c r="B5">
        <v>1</v>
      </c>
      <c r="C5" s="1">
        <v>0.56074122179062802</v>
      </c>
      <c r="E5" t="s">
        <v>5</v>
      </c>
      <c r="F5">
        <f>F3-F4</f>
        <v>1</v>
      </c>
      <c r="G5">
        <f>G3-G4</f>
        <v>0.19671174794596707</v>
      </c>
      <c r="I5" s="1">
        <v>0</v>
      </c>
      <c r="L5" s="1" t="s">
        <v>48</v>
      </c>
      <c r="O5" s="1" t="s">
        <v>48</v>
      </c>
    </row>
    <row r="6" spans="1:15" x14ac:dyDescent="0.45">
      <c r="B6">
        <v>0</v>
      </c>
      <c r="C6" s="1">
        <v>0.49976020124576598</v>
      </c>
      <c r="E6" t="s">
        <v>6</v>
      </c>
      <c r="F6">
        <f>AVERAGE(B3:B12)</f>
        <v>0.85</v>
      </c>
      <c r="G6">
        <f>AVERAGE(C3:C7)</f>
        <v>0.58927807293432199</v>
      </c>
      <c r="I6" s="1">
        <v>1</v>
      </c>
      <c r="L6" s="1" t="s">
        <v>49</v>
      </c>
      <c r="O6" s="1" t="s">
        <v>49</v>
      </c>
    </row>
    <row r="7" spans="1:15" x14ac:dyDescent="0.45">
      <c r="B7" s="1">
        <v>1</v>
      </c>
      <c r="C7" s="1">
        <v>0.69647194919173305</v>
      </c>
      <c r="E7" t="s">
        <v>8</v>
      </c>
      <c r="F7" s="2">
        <f>_xlfn.VAR.P(B3:B7)</f>
        <v>0.16</v>
      </c>
      <c r="G7" s="2">
        <f>_xlfn.VAR.P(C3:C7)</f>
        <v>4.3152789950222118E-3</v>
      </c>
      <c r="I7" s="1">
        <v>1</v>
      </c>
      <c r="L7" s="1" t="s">
        <v>36</v>
      </c>
      <c r="O7" s="1" t="s">
        <v>36</v>
      </c>
    </row>
    <row r="8" spans="1:15" x14ac:dyDescent="0.45">
      <c r="B8" s="1">
        <v>1</v>
      </c>
      <c r="C8" s="1">
        <v>0.46118312774956099</v>
      </c>
      <c r="I8" s="1">
        <v>1</v>
      </c>
      <c r="L8" s="1" t="s">
        <v>37</v>
      </c>
      <c r="O8" s="1" t="s">
        <v>37</v>
      </c>
    </row>
    <row r="9" spans="1:15" x14ac:dyDescent="0.45">
      <c r="B9" s="1">
        <v>1</v>
      </c>
      <c r="C9" s="1">
        <v>0.62872580630136199</v>
      </c>
      <c r="I9" s="1">
        <v>1</v>
      </c>
      <c r="L9" s="1" t="s">
        <v>38</v>
      </c>
      <c r="O9" s="1" t="s">
        <v>38</v>
      </c>
    </row>
    <row r="10" spans="1:15" x14ac:dyDescent="0.45">
      <c r="B10" s="1">
        <v>1</v>
      </c>
      <c r="C10" s="1">
        <v>0.53351618463272499</v>
      </c>
      <c r="I10" s="1">
        <v>1</v>
      </c>
      <c r="L10" s="1" t="s">
        <v>39</v>
      </c>
      <c r="O10" s="1" t="s">
        <v>39</v>
      </c>
    </row>
    <row r="11" spans="1:15" x14ac:dyDescent="0.45">
      <c r="B11" s="1">
        <v>1</v>
      </c>
      <c r="C11" s="1">
        <v>0.63911397306544004</v>
      </c>
      <c r="I11" s="1">
        <v>0</v>
      </c>
      <c r="L11" s="1" t="s">
        <v>40</v>
      </c>
      <c r="O11" s="1" t="s">
        <v>40</v>
      </c>
    </row>
    <row r="12" spans="1:15" x14ac:dyDescent="0.45">
      <c r="B12" s="1">
        <v>1</v>
      </c>
      <c r="C12" s="1">
        <v>0.499961560758868</v>
      </c>
      <c r="I12" s="1">
        <v>0</v>
      </c>
      <c r="L12" s="1" t="s">
        <v>50</v>
      </c>
      <c r="O12" s="1" t="s">
        <v>50</v>
      </c>
    </row>
    <row r="13" spans="1:15" x14ac:dyDescent="0.45">
      <c r="I13" s="1">
        <v>1</v>
      </c>
      <c r="L13" s="1" t="s">
        <v>57</v>
      </c>
      <c r="O13" s="1" t="s">
        <v>57</v>
      </c>
    </row>
    <row r="14" spans="1:15" x14ac:dyDescent="0.45">
      <c r="A14" t="s">
        <v>7</v>
      </c>
      <c r="B14" t="s">
        <v>2</v>
      </c>
      <c r="I14" s="1">
        <v>0</v>
      </c>
      <c r="L14" s="1" t="s">
        <v>41</v>
      </c>
      <c r="O14" s="1" t="s">
        <v>41</v>
      </c>
    </row>
    <row r="15" spans="1:15" x14ac:dyDescent="0.45">
      <c r="B15" s="1">
        <v>1</v>
      </c>
      <c r="C15" s="1">
        <v>0.499961560758868</v>
      </c>
      <c r="E15" t="s">
        <v>3</v>
      </c>
      <c r="F15">
        <f>MAX(B15:B24)</f>
        <v>1</v>
      </c>
      <c r="G15">
        <f>MAX(C15:C19)</f>
        <v>0.99999954524039603</v>
      </c>
      <c r="I15" s="1">
        <v>0</v>
      </c>
      <c r="L15" s="1" t="s">
        <v>72</v>
      </c>
      <c r="O15" s="1" t="s">
        <v>52</v>
      </c>
    </row>
    <row r="16" spans="1:15" x14ac:dyDescent="0.45">
      <c r="B16" s="1">
        <v>1</v>
      </c>
      <c r="C16" s="1">
        <v>0.99999469469676205</v>
      </c>
      <c r="E16" t="s">
        <v>4</v>
      </c>
      <c r="F16">
        <f>MIN(B15:B24)</f>
        <v>1</v>
      </c>
      <c r="G16">
        <f>MIN(C15:C19)</f>
        <v>0.499961560758868</v>
      </c>
      <c r="I16" s="1">
        <v>1</v>
      </c>
      <c r="L16" s="1" t="s">
        <v>53</v>
      </c>
      <c r="O16" s="1" t="s">
        <v>53</v>
      </c>
    </row>
    <row r="17" spans="1:15" x14ac:dyDescent="0.45">
      <c r="B17" s="1">
        <v>1</v>
      </c>
      <c r="C17" s="1">
        <v>0.99999946938972994</v>
      </c>
      <c r="E17" t="s">
        <v>5</v>
      </c>
      <c r="F17">
        <f>F15-F16</f>
        <v>0</v>
      </c>
      <c r="G17">
        <f>G15-G16</f>
        <v>0.50003798448152803</v>
      </c>
      <c r="I17" s="1">
        <v>1</v>
      </c>
      <c r="L17" s="1" t="s">
        <v>43</v>
      </c>
      <c r="O17" s="1" t="s">
        <v>43</v>
      </c>
    </row>
    <row r="18" spans="1:15" x14ac:dyDescent="0.45">
      <c r="B18" s="1">
        <v>1</v>
      </c>
      <c r="C18" s="1">
        <v>0.99999917380386305</v>
      </c>
      <c r="E18" t="s">
        <v>6</v>
      </c>
      <c r="F18">
        <f>AVERAGE(B15:B24)</f>
        <v>1</v>
      </c>
      <c r="G18">
        <f>AVERAGE(C15:C19)</f>
        <v>0.89999088877792377</v>
      </c>
      <c r="I18" s="1" t="s">
        <v>45</v>
      </c>
      <c r="L18" s="1" t="s">
        <v>73</v>
      </c>
      <c r="O18" s="1" t="s">
        <v>44</v>
      </c>
    </row>
    <row r="19" spans="1:15" x14ac:dyDescent="0.45">
      <c r="B19" s="1">
        <v>1</v>
      </c>
      <c r="C19" s="1">
        <v>0.99999954524039603</v>
      </c>
      <c r="E19" t="s">
        <v>8</v>
      </c>
      <c r="F19" s="2">
        <f>_xlfn.VAR.P(B15:B19)</f>
        <v>0</v>
      </c>
      <c r="G19" s="2">
        <f>_xlfn.VAR.P(C15:C19)</f>
        <v>4.0005865822175225E-2</v>
      </c>
      <c r="L19" s="1" t="s">
        <v>70</v>
      </c>
      <c r="O19" s="1" t="s">
        <v>58</v>
      </c>
    </row>
    <row r="20" spans="1:15" x14ac:dyDescent="0.45">
      <c r="B20" s="1">
        <v>1</v>
      </c>
      <c r="C20" s="1">
        <v>0.99999944052790202</v>
      </c>
      <c r="I20" t="s">
        <v>46</v>
      </c>
      <c r="L20" s="1" t="s">
        <v>55</v>
      </c>
      <c r="O20" s="1" t="s">
        <v>96</v>
      </c>
    </row>
    <row r="21" spans="1:15" x14ac:dyDescent="0.45">
      <c r="B21" s="1">
        <v>1</v>
      </c>
      <c r="C21" s="1">
        <v>0.999999999999999</v>
      </c>
      <c r="I21" s="4" t="s">
        <v>47</v>
      </c>
    </row>
    <row r="22" spans="1:15" x14ac:dyDescent="0.45">
      <c r="B22" s="1">
        <v>1</v>
      </c>
      <c r="C22" s="1">
        <v>0.99999958502942499</v>
      </c>
      <c r="I22" s="1" t="s">
        <v>34</v>
      </c>
      <c r="L22" s="1" t="s">
        <v>74</v>
      </c>
      <c r="O22" s="1" t="s">
        <v>97</v>
      </c>
    </row>
    <row r="23" spans="1:15" x14ac:dyDescent="0.45">
      <c r="B23" s="1">
        <v>1</v>
      </c>
      <c r="C23" s="1">
        <v>0.99999917977445496</v>
      </c>
      <c r="I23" s="1" t="s">
        <v>48</v>
      </c>
      <c r="L23" s="4" t="s">
        <v>47</v>
      </c>
      <c r="O23" s="4" t="s">
        <v>47</v>
      </c>
    </row>
    <row r="24" spans="1:15" x14ac:dyDescent="0.45">
      <c r="B24" s="1">
        <v>1</v>
      </c>
      <c r="C24" s="1">
        <v>0.99999977655430605</v>
      </c>
      <c r="I24" s="1" t="s">
        <v>49</v>
      </c>
      <c r="L24" s="1" t="s">
        <v>34</v>
      </c>
      <c r="O24" s="1" t="s">
        <v>34</v>
      </c>
    </row>
    <row r="25" spans="1:15" x14ac:dyDescent="0.45">
      <c r="B25" s="1">
        <v>1</v>
      </c>
      <c r="C25" s="1">
        <v>0.99999453570421903</v>
      </c>
      <c r="I25" s="1" t="s">
        <v>36</v>
      </c>
      <c r="L25" s="1" t="s">
        <v>48</v>
      </c>
      <c r="O25" s="1" t="s">
        <v>48</v>
      </c>
    </row>
    <row r="26" spans="1:15" x14ac:dyDescent="0.45">
      <c r="I26" s="1" t="s">
        <v>37</v>
      </c>
      <c r="L26" s="1" t="s">
        <v>75</v>
      </c>
      <c r="O26" s="1" t="s">
        <v>49</v>
      </c>
    </row>
    <row r="27" spans="1:15" x14ac:dyDescent="0.45">
      <c r="A27" t="s">
        <v>9</v>
      </c>
      <c r="I27" s="1" t="s">
        <v>38</v>
      </c>
      <c r="L27" s="1" t="s">
        <v>76</v>
      </c>
      <c r="O27" s="1" t="s">
        <v>36</v>
      </c>
    </row>
    <row r="28" spans="1:15" x14ac:dyDescent="0.45">
      <c r="B28" s="1">
        <v>1</v>
      </c>
      <c r="C28" s="1">
        <v>0.99999954423954496</v>
      </c>
      <c r="E28" t="s">
        <v>3</v>
      </c>
      <c r="F28">
        <f>MAX(B28:B37)</f>
        <v>1</v>
      </c>
      <c r="G28">
        <f>MAX(C28:C32)</f>
        <v>0.99999954423954496</v>
      </c>
      <c r="I28" s="1" t="s">
        <v>39</v>
      </c>
      <c r="L28" s="1" t="s">
        <v>77</v>
      </c>
      <c r="O28" s="1" t="s">
        <v>37</v>
      </c>
    </row>
    <row r="29" spans="1:15" x14ac:dyDescent="0.45">
      <c r="B29" s="1">
        <v>1</v>
      </c>
      <c r="C29" s="1">
        <v>0.95053100154946202</v>
      </c>
      <c r="E29" t="s">
        <v>4</v>
      </c>
      <c r="F29">
        <f>MIN(B28:B37)</f>
        <v>1</v>
      </c>
      <c r="G29">
        <f>MIN(C28:C32)</f>
        <v>0.95053100154946202</v>
      </c>
      <c r="I29" s="1" t="s">
        <v>40</v>
      </c>
      <c r="L29" s="1" t="s">
        <v>38</v>
      </c>
      <c r="O29" s="1" t="s">
        <v>38</v>
      </c>
    </row>
    <row r="30" spans="1:15" x14ac:dyDescent="0.45">
      <c r="B30" s="1">
        <v>1</v>
      </c>
      <c r="C30" s="1">
        <v>0.99999894704505699</v>
      </c>
      <c r="E30" t="s">
        <v>5</v>
      </c>
      <c r="F30">
        <f>F28-F29</f>
        <v>0</v>
      </c>
      <c r="G30">
        <f>G28-G29</f>
        <v>4.9468542690082939E-2</v>
      </c>
      <c r="I30" s="1" t="s">
        <v>50</v>
      </c>
      <c r="L30" s="1" t="s">
        <v>39</v>
      </c>
      <c r="O30" s="1" t="s">
        <v>39</v>
      </c>
    </row>
    <row r="31" spans="1:15" x14ac:dyDescent="0.45">
      <c r="B31" s="1">
        <v>1</v>
      </c>
      <c r="C31" s="1">
        <v>0.999994039073963</v>
      </c>
      <c r="E31" t="s">
        <v>6</v>
      </c>
      <c r="F31">
        <f>AVERAGE(B28:B37)</f>
        <v>1</v>
      </c>
      <c r="G31">
        <f>AVERAGE(C28:C32)</f>
        <v>0.98540668496184014</v>
      </c>
      <c r="I31" s="1" t="s">
        <v>51</v>
      </c>
      <c r="L31" s="1" t="s">
        <v>40</v>
      </c>
      <c r="O31" s="1" t="s">
        <v>40</v>
      </c>
    </row>
    <row r="32" spans="1:15" x14ac:dyDescent="0.45">
      <c r="B32" s="1">
        <v>1</v>
      </c>
      <c r="C32" s="1">
        <v>0.97650989290117396</v>
      </c>
      <c r="E32" t="s">
        <v>8</v>
      </c>
      <c r="F32" s="2">
        <f>_xlfn.VAR.P(B28:B32)</f>
        <v>0</v>
      </c>
      <c r="G32" s="2">
        <f>_xlfn.VAR.P(C28:C32)</f>
        <v>3.8682855140956208E-4</v>
      </c>
      <c r="I32" s="1" t="s">
        <v>41</v>
      </c>
      <c r="L32" s="1" t="s">
        <v>78</v>
      </c>
      <c r="O32" s="1" t="s">
        <v>50</v>
      </c>
    </row>
    <row r="33" spans="1:15" x14ac:dyDescent="0.45">
      <c r="I33" s="1" t="s">
        <v>52</v>
      </c>
      <c r="L33" s="1" t="s">
        <v>57</v>
      </c>
      <c r="O33" s="1" t="s">
        <v>57</v>
      </c>
    </row>
    <row r="34" spans="1:15" x14ac:dyDescent="0.45">
      <c r="A34" t="s">
        <v>10</v>
      </c>
      <c r="I34" s="1" t="s">
        <v>53</v>
      </c>
      <c r="L34" s="1" t="s">
        <v>41</v>
      </c>
      <c r="O34" s="1" t="s">
        <v>41</v>
      </c>
    </row>
    <row r="35" spans="1:15" x14ac:dyDescent="0.45">
      <c r="B35" s="1">
        <v>1</v>
      </c>
      <c r="C35" s="1">
        <v>0.828653324644259</v>
      </c>
      <c r="E35" t="s">
        <v>3</v>
      </c>
      <c r="F35">
        <f>MAX(B35:B44)</f>
        <v>1</v>
      </c>
      <c r="G35">
        <f>MAX(C35:C39)</f>
        <v>0.91869477864600302</v>
      </c>
      <c r="I35" s="1" t="s">
        <v>43</v>
      </c>
      <c r="L35" s="1" t="s">
        <v>52</v>
      </c>
      <c r="O35" s="1" t="s">
        <v>52</v>
      </c>
    </row>
    <row r="36" spans="1:15" x14ac:dyDescent="0.45">
      <c r="B36" s="1">
        <v>1</v>
      </c>
      <c r="C36" s="1">
        <v>0.79177406636259895</v>
      </c>
      <c r="E36" t="s">
        <v>4</v>
      </c>
      <c r="F36">
        <f>MIN(B35:B44)</f>
        <v>1</v>
      </c>
      <c r="G36">
        <f>MIN(C35:C39)</f>
        <v>0.79177406636259895</v>
      </c>
      <c r="I36" s="1" t="s">
        <v>44</v>
      </c>
      <c r="L36" s="1" t="s">
        <v>79</v>
      </c>
      <c r="O36" s="1" t="s">
        <v>53</v>
      </c>
    </row>
    <row r="37" spans="1:15" x14ac:dyDescent="0.45">
      <c r="B37" s="1">
        <v>1</v>
      </c>
      <c r="C37" s="1">
        <v>0.86586967294209405</v>
      </c>
      <c r="E37" t="s">
        <v>5</v>
      </c>
      <c r="F37">
        <f>F35-F36</f>
        <v>0</v>
      </c>
      <c r="G37">
        <f>G35-G36</f>
        <v>0.12692071228340407</v>
      </c>
      <c r="I37" s="1" t="s">
        <v>54</v>
      </c>
      <c r="L37" s="1" t="s">
        <v>43</v>
      </c>
      <c r="O37" s="1" t="s">
        <v>43</v>
      </c>
    </row>
    <row r="38" spans="1:15" x14ac:dyDescent="0.45">
      <c r="B38" s="1">
        <v>1</v>
      </c>
      <c r="C38" s="1">
        <v>0.91869477864600302</v>
      </c>
      <c r="E38" t="s">
        <v>6</v>
      </c>
      <c r="F38">
        <f>AVERAGE(B35:B44)</f>
        <v>1</v>
      </c>
      <c r="G38">
        <f>AVERAGE(C35:C39)</f>
        <v>0.84937442730860158</v>
      </c>
      <c r="I38" s="1" t="s">
        <v>55</v>
      </c>
      <c r="L38" s="1" t="s">
        <v>44</v>
      </c>
      <c r="O38" s="1" t="s">
        <v>44</v>
      </c>
    </row>
    <row r="39" spans="1:15" x14ac:dyDescent="0.45">
      <c r="B39" s="1">
        <v>1</v>
      </c>
      <c r="C39" s="1">
        <v>0.84188029394805297</v>
      </c>
      <c r="E39" t="s">
        <v>8</v>
      </c>
      <c r="F39" s="2">
        <f>_xlfn.VAR.P(B35:B39)</f>
        <v>0</v>
      </c>
      <c r="G39" s="2">
        <f>_xlfn.VAR.P(C35:C39)</f>
        <v>1.7761463899223448E-3</v>
      </c>
      <c r="L39" s="1" t="s">
        <v>80</v>
      </c>
      <c r="O39" s="1" t="s">
        <v>58</v>
      </c>
    </row>
    <row r="40" spans="1:15" x14ac:dyDescent="0.45">
      <c r="I40" s="1" t="s">
        <v>56</v>
      </c>
      <c r="L40" s="1" t="s">
        <v>55</v>
      </c>
      <c r="O40" s="1" t="s">
        <v>98</v>
      </c>
    </row>
    <row r="41" spans="1:15" x14ac:dyDescent="0.45">
      <c r="A41" t="s">
        <v>11</v>
      </c>
      <c r="I41" s="4" t="s">
        <v>47</v>
      </c>
      <c r="O41" s="1"/>
    </row>
    <row r="42" spans="1:15" x14ac:dyDescent="0.45">
      <c r="B42" s="1">
        <v>1</v>
      </c>
      <c r="C42" s="1">
        <v>0.72517432015731798</v>
      </c>
      <c r="E42" t="s">
        <v>3</v>
      </c>
      <c r="F42">
        <f>MAX(B42:B51)</f>
        <v>1</v>
      </c>
      <c r="G42">
        <f>MAX(C42:C46)</f>
        <v>0.82530410337981697</v>
      </c>
      <c r="I42" s="1" t="s">
        <v>34</v>
      </c>
      <c r="L42" s="1" t="s">
        <v>81</v>
      </c>
      <c r="O42" s="1" t="s">
        <v>99</v>
      </c>
    </row>
    <row r="43" spans="1:15" x14ac:dyDescent="0.45">
      <c r="B43" s="1">
        <v>1</v>
      </c>
      <c r="C43" s="1">
        <v>0.72843201638270005</v>
      </c>
      <c r="E43" t="s">
        <v>4</v>
      </c>
      <c r="F43">
        <f>MIN(B42:B51)</f>
        <v>1</v>
      </c>
      <c r="G43">
        <f>MIN(C42:C46)</f>
        <v>0.67763441554023496</v>
      </c>
      <c r="I43" s="1" t="s">
        <v>48</v>
      </c>
      <c r="L43" s="4" t="s">
        <v>47</v>
      </c>
      <c r="O43" s="4" t="s">
        <v>47</v>
      </c>
    </row>
    <row r="44" spans="1:15" x14ac:dyDescent="0.45">
      <c r="B44" s="1">
        <v>1</v>
      </c>
      <c r="C44" s="1">
        <v>0.67763441554023496</v>
      </c>
      <c r="E44" t="s">
        <v>5</v>
      </c>
      <c r="F44">
        <f>F42-F43</f>
        <v>0</v>
      </c>
      <c r="G44">
        <f>G42-G43</f>
        <v>0.14766968783958201</v>
      </c>
      <c r="I44" s="1" t="s">
        <v>49</v>
      </c>
      <c r="L44" s="1" t="s">
        <v>34</v>
      </c>
      <c r="O44" s="1" t="s">
        <v>34</v>
      </c>
    </row>
    <row r="45" spans="1:15" x14ac:dyDescent="0.45">
      <c r="B45" s="1">
        <v>1</v>
      </c>
      <c r="C45" s="1">
        <v>0.69887389007504297</v>
      </c>
      <c r="E45" t="s">
        <v>6</v>
      </c>
      <c r="F45">
        <f>AVERAGE(B42:B51)</f>
        <v>1</v>
      </c>
      <c r="G45">
        <f>AVERAGE(C42:C46)</f>
        <v>0.73108374910702256</v>
      </c>
      <c r="I45" s="1" t="s">
        <v>36</v>
      </c>
      <c r="L45" s="1" t="s">
        <v>48</v>
      </c>
      <c r="O45" s="1" t="s">
        <v>48</v>
      </c>
    </row>
    <row r="46" spans="1:15" x14ac:dyDescent="0.45">
      <c r="B46" s="1">
        <v>1</v>
      </c>
      <c r="C46" s="1">
        <v>0.82530410337981697</v>
      </c>
      <c r="E46" t="s">
        <v>8</v>
      </c>
      <c r="F46" s="2">
        <f>_xlfn.VAR.P(B42:B46)</f>
        <v>0</v>
      </c>
      <c r="G46" s="2">
        <f>_xlfn.VAR.P(C42:C46)</f>
        <v>2.5627468947674926E-3</v>
      </c>
      <c r="I46" s="1" t="s">
        <v>37</v>
      </c>
      <c r="L46" s="1" t="s">
        <v>49</v>
      </c>
      <c r="O46" s="1" t="s">
        <v>49</v>
      </c>
    </row>
    <row r="47" spans="1:15" x14ac:dyDescent="0.45">
      <c r="I47" s="1" t="s">
        <v>38</v>
      </c>
      <c r="L47" s="1" t="s">
        <v>36</v>
      </c>
      <c r="O47" s="1" t="s">
        <v>36</v>
      </c>
    </row>
    <row r="48" spans="1:15" x14ac:dyDescent="0.45">
      <c r="A48" t="s">
        <v>12</v>
      </c>
      <c r="I48" s="1" t="s">
        <v>39</v>
      </c>
      <c r="L48" s="1" t="s">
        <v>77</v>
      </c>
      <c r="O48" s="1" t="s">
        <v>37</v>
      </c>
    </row>
    <row r="49" spans="1:15" x14ac:dyDescent="0.45">
      <c r="B49" s="1">
        <v>1</v>
      </c>
      <c r="C49" s="1">
        <v>0.40964463707174198</v>
      </c>
      <c r="E49" t="s">
        <v>3</v>
      </c>
      <c r="F49">
        <f>MAX(B49:B58)</f>
        <v>1</v>
      </c>
      <c r="G49">
        <f>MAX(C49:C53)</f>
        <v>0.65387296104497095</v>
      </c>
      <c r="I49" s="1" t="s">
        <v>40</v>
      </c>
      <c r="L49" s="1" t="s">
        <v>38</v>
      </c>
      <c r="O49" s="1" t="s">
        <v>38</v>
      </c>
    </row>
    <row r="50" spans="1:15" x14ac:dyDescent="0.45">
      <c r="B50" s="1">
        <v>1</v>
      </c>
      <c r="C50" s="1">
        <v>0.49106162167634498</v>
      </c>
      <c r="E50" t="s">
        <v>4</v>
      </c>
      <c r="F50">
        <f>MIN(B49:B58)</f>
        <v>0.5</v>
      </c>
      <c r="G50">
        <f>MIN(C49:C53)</f>
        <v>0.40964463707174198</v>
      </c>
      <c r="I50" s="1" t="s">
        <v>50</v>
      </c>
      <c r="L50" s="1" t="s">
        <v>39</v>
      </c>
      <c r="O50" s="1" t="s">
        <v>39</v>
      </c>
    </row>
    <row r="51" spans="1:15" x14ac:dyDescent="0.45">
      <c r="B51" s="1">
        <v>1</v>
      </c>
      <c r="C51" s="1">
        <v>0.52124541497062404</v>
      </c>
      <c r="E51" t="s">
        <v>5</v>
      </c>
      <c r="F51">
        <f>F49-F50</f>
        <v>0.5</v>
      </c>
      <c r="G51">
        <f>G49-G50</f>
        <v>0.24422832397322897</v>
      </c>
      <c r="I51" s="1" t="s">
        <v>57</v>
      </c>
      <c r="L51" s="1" t="s">
        <v>40</v>
      </c>
      <c r="O51" s="1" t="s">
        <v>40</v>
      </c>
    </row>
    <row r="52" spans="1:15" x14ac:dyDescent="0.45">
      <c r="B52" s="1">
        <v>1</v>
      </c>
      <c r="C52" s="1">
        <v>0.65387296104497095</v>
      </c>
      <c r="E52" t="s">
        <v>6</v>
      </c>
      <c r="F52">
        <f>AVERAGE(B49:B58)</f>
        <v>0.9375</v>
      </c>
      <c r="G52">
        <f>AVERAGE(C49:C53)</f>
        <v>0.52108968158907643</v>
      </c>
      <c r="I52" s="1" t="s">
        <v>41</v>
      </c>
      <c r="L52" s="1" t="s">
        <v>50</v>
      </c>
      <c r="O52" s="1" t="s">
        <v>50</v>
      </c>
    </row>
    <row r="53" spans="1:15" x14ac:dyDescent="0.45">
      <c r="B53" s="1">
        <v>1</v>
      </c>
      <c r="C53" s="1">
        <v>0.52962377318169995</v>
      </c>
      <c r="E53" t="s">
        <v>8</v>
      </c>
      <c r="F53" s="2">
        <f>_xlfn.VAR.P(B49:B53)</f>
        <v>0</v>
      </c>
      <c r="G53" s="2">
        <f>_xlfn.VAR.P(C49:C53)</f>
        <v>6.2051873209705731E-3</v>
      </c>
      <c r="I53" s="1" t="s">
        <v>52</v>
      </c>
      <c r="L53" s="1" t="s">
        <v>51</v>
      </c>
      <c r="O53" s="1" t="s">
        <v>57</v>
      </c>
    </row>
    <row r="54" spans="1:15" x14ac:dyDescent="0.45">
      <c r="I54" s="1" t="s">
        <v>53</v>
      </c>
      <c r="L54" s="1" t="s">
        <v>41</v>
      </c>
      <c r="O54" s="1" t="s">
        <v>41</v>
      </c>
    </row>
    <row r="55" spans="1:15" x14ac:dyDescent="0.45">
      <c r="A55" t="s">
        <v>13</v>
      </c>
      <c r="I55" s="1" t="s">
        <v>43</v>
      </c>
      <c r="L55" s="1" t="s">
        <v>52</v>
      </c>
      <c r="O55" s="1" t="s">
        <v>52</v>
      </c>
    </row>
    <row r="56" spans="1:15" x14ac:dyDescent="0.45">
      <c r="B56" s="1">
        <v>1</v>
      </c>
      <c r="C56" s="1">
        <v>0.39367726286959098</v>
      </c>
      <c r="E56" t="s">
        <v>3</v>
      </c>
      <c r="F56">
        <f>MAX(B56:B65)</f>
        <v>1</v>
      </c>
      <c r="G56">
        <f>MAX(C56:C60)</f>
        <v>0.44889819812047399</v>
      </c>
      <c r="I56" s="1" t="s">
        <v>44</v>
      </c>
      <c r="L56" s="1" t="s">
        <v>53</v>
      </c>
      <c r="O56" s="1" t="s">
        <v>53</v>
      </c>
    </row>
    <row r="57" spans="1:15" x14ac:dyDescent="0.45">
      <c r="B57" s="1">
        <v>1</v>
      </c>
      <c r="C57" s="1">
        <v>0.44378468338448801</v>
      </c>
      <c r="E57" t="s">
        <v>4</v>
      </c>
      <c r="F57">
        <f>MIN(B56:B65)</f>
        <v>0.5</v>
      </c>
      <c r="G57">
        <f>MIN(C56:C60)</f>
        <v>0.38709728433785001</v>
      </c>
      <c r="I57" s="1" t="s">
        <v>58</v>
      </c>
      <c r="L57" s="1" t="s">
        <v>82</v>
      </c>
      <c r="O57" s="1" t="s">
        <v>43</v>
      </c>
    </row>
    <row r="58" spans="1:15" x14ac:dyDescent="0.45">
      <c r="B58" s="1">
        <v>0.5</v>
      </c>
      <c r="C58" s="1">
        <v>0.44889819812047399</v>
      </c>
      <c r="E58" t="s">
        <v>5</v>
      </c>
      <c r="F58">
        <f>F56-F57</f>
        <v>0.5</v>
      </c>
      <c r="G58">
        <f>G56-G57</f>
        <v>6.1800913782623978E-2</v>
      </c>
      <c r="I58" s="1" t="s">
        <v>59</v>
      </c>
      <c r="L58" s="1" t="s">
        <v>44</v>
      </c>
      <c r="O58" s="1" t="s">
        <v>44</v>
      </c>
    </row>
    <row r="59" spans="1:15" x14ac:dyDescent="0.45">
      <c r="B59" s="1">
        <v>1</v>
      </c>
      <c r="C59" s="1">
        <v>0.40953469955069499</v>
      </c>
      <c r="E59" t="s">
        <v>6</v>
      </c>
      <c r="F59">
        <f>AVERAGE(B56:B65)</f>
        <v>0.875</v>
      </c>
      <c r="G59">
        <f>AVERAGE(C56:C60)</f>
        <v>0.41659842565261956</v>
      </c>
      <c r="L59" s="1" t="s">
        <v>83</v>
      </c>
      <c r="O59" s="1" t="s">
        <v>58</v>
      </c>
    </row>
    <row r="60" spans="1:15" x14ac:dyDescent="0.45">
      <c r="B60" s="1">
        <v>0.5</v>
      </c>
      <c r="C60" s="1">
        <v>0.38709728433785001</v>
      </c>
      <c r="E60" t="s">
        <v>8</v>
      </c>
      <c r="F60" s="2">
        <f>_xlfn.VAR.P(B56:B60)</f>
        <v>0.06</v>
      </c>
      <c r="G60" s="2">
        <f>_xlfn.VAR.P(C56:C60)</f>
        <v>6.4559223591637038E-4</v>
      </c>
      <c r="I60" s="1" t="s">
        <v>60</v>
      </c>
      <c r="L60" s="1" t="s">
        <v>84</v>
      </c>
      <c r="O60" s="1" t="s">
        <v>100</v>
      </c>
    </row>
    <row r="61" spans="1:15" x14ac:dyDescent="0.45">
      <c r="I61" s="4" t="s">
        <v>47</v>
      </c>
    </row>
    <row r="62" spans="1:15" x14ac:dyDescent="0.45">
      <c r="A62" t="s">
        <v>14</v>
      </c>
      <c r="I62" s="1" t="s">
        <v>34</v>
      </c>
      <c r="L62" s="1" t="s">
        <v>85</v>
      </c>
      <c r="O62" s="1" t="s">
        <v>101</v>
      </c>
    </row>
    <row r="63" spans="1:15" x14ac:dyDescent="0.45">
      <c r="B63" s="1">
        <v>1</v>
      </c>
      <c r="C63" s="1">
        <v>0.34371364032464102</v>
      </c>
      <c r="E63" t="s">
        <v>3</v>
      </c>
      <c r="F63">
        <f>MAX(B63:B72)</f>
        <v>1</v>
      </c>
      <c r="G63">
        <f>MAX(C63:C67)</f>
        <v>0.43354152160477399</v>
      </c>
      <c r="I63" s="1" t="s">
        <v>48</v>
      </c>
      <c r="L63" s="4" t="s">
        <v>47</v>
      </c>
      <c r="O63" s="4" t="s">
        <v>47</v>
      </c>
    </row>
    <row r="64" spans="1:15" x14ac:dyDescent="0.45">
      <c r="B64" s="1">
        <v>1</v>
      </c>
      <c r="C64" s="1">
        <v>0.35501272362464997</v>
      </c>
      <c r="E64" t="s">
        <v>4</v>
      </c>
      <c r="F64">
        <f>MIN(B63:B72)</f>
        <v>1</v>
      </c>
      <c r="G64">
        <f>MIN(C63:C67)</f>
        <v>0.251554811045621</v>
      </c>
      <c r="I64" s="1" t="s">
        <v>35</v>
      </c>
      <c r="L64" s="1" t="s">
        <v>34</v>
      </c>
      <c r="O64" s="1" t="s">
        <v>34</v>
      </c>
    </row>
    <row r="65" spans="1:15" x14ac:dyDescent="0.45">
      <c r="B65" s="1">
        <v>1</v>
      </c>
      <c r="C65" s="1">
        <v>0.43354152160477399</v>
      </c>
      <c r="E65" t="s">
        <v>5</v>
      </c>
      <c r="F65">
        <f>F63-F64</f>
        <v>0</v>
      </c>
      <c r="G65">
        <f>G63-G64</f>
        <v>0.181986710559153</v>
      </c>
      <c r="I65" s="1" t="s">
        <v>61</v>
      </c>
      <c r="L65" s="1" t="s">
        <v>48</v>
      </c>
      <c r="O65" s="1" t="s">
        <v>48</v>
      </c>
    </row>
    <row r="66" spans="1:15" x14ac:dyDescent="0.45">
      <c r="B66" s="1">
        <v>1</v>
      </c>
      <c r="C66" s="1">
        <v>0.251554811045621</v>
      </c>
      <c r="E66" t="s">
        <v>6</v>
      </c>
      <c r="F66">
        <f>AVERAGE(B63:B72)</f>
        <v>1</v>
      </c>
      <c r="G66">
        <f>AVERAGE(C63:C67)</f>
        <v>0.34595567414992145</v>
      </c>
      <c r="I66" s="1" t="s">
        <v>37</v>
      </c>
      <c r="L66" s="1" t="s">
        <v>49</v>
      </c>
      <c r="O66" s="1" t="s">
        <v>49</v>
      </c>
    </row>
    <row r="67" spans="1:15" x14ac:dyDescent="0.45">
      <c r="E67" t="s">
        <v>8</v>
      </c>
      <c r="F67" s="2">
        <f>_xlfn.VAR.P(B63:B67)</f>
        <v>0</v>
      </c>
      <c r="G67" s="2">
        <f>_xlfn.VAR.P(C63:C67)</f>
        <v>4.1674651225207665E-3</v>
      </c>
      <c r="I67" s="1" t="s">
        <v>38</v>
      </c>
      <c r="L67" s="1" t="s">
        <v>36</v>
      </c>
      <c r="O67" s="1" t="s">
        <v>36</v>
      </c>
    </row>
    <row r="68" spans="1:15" x14ac:dyDescent="0.45">
      <c r="A68" t="s">
        <v>15</v>
      </c>
      <c r="I68" s="1" t="s">
        <v>39</v>
      </c>
      <c r="L68" s="1" t="s">
        <v>77</v>
      </c>
      <c r="O68" s="1" t="s">
        <v>37</v>
      </c>
    </row>
    <row r="69" spans="1:15" x14ac:dyDescent="0.45">
      <c r="B69" s="1">
        <v>1</v>
      </c>
      <c r="C69" s="1">
        <v>0.33239999999999997</v>
      </c>
      <c r="E69">
        <f>AVERAGE(B69:B83)</f>
        <v>0.8666666666666667</v>
      </c>
      <c r="I69" s="1" t="s">
        <v>62</v>
      </c>
      <c r="L69" s="1" t="s">
        <v>86</v>
      </c>
      <c r="O69" s="1" t="s">
        <v>38</v>
      </c>
    </row>
    <row r="70" spans="1:15" x14ac:dyDescent="0.45">
      <c r="B70" s="1">
        <v>1</v>
      </c>
      <c r="I70" s="1" t="s">
        <v>50</v>
      </c>
      <c r="L70" s="1" t="s">
        <v>39</v>
      </c>
      <c r="O70" s="1" t="s">
        <v>39</v>
      </c>
    </row>
    <row r="71" spans="1:15" x14ac:dyDescent="0.45">
      <c r="B71" s="1">
        <v>1</v>
      </c>
      <c r="I71" s="1" t="s">
        <v>57</v>
      </c>
      <c r="L71" s="1" t="s">
        <v>87</v>
      </c>
      <c r="O71" s="1" t="s">
        <v>40</v>
      </c>
    </row>
    <row r="72" spans="1:15" x14ac:dyDescent="0.45">
      <c r="B72" s="1">
        <v>1</v>
      </c>
      <c r="I72" s="1" t="s">
        <v>41</v>
      </c>
      <c r="L72" s="1" t="s">
        <v>50</v>
      </c>
      <c r="O72" s="1" t="s">
        <v>50</v>
      </c>
    </row>
    <row r="73" spans="1:15" x14ac:dyDescent="0.45">
      <c r="B73" s="1">
        <v>1</v>
      </c>
      <c r="I73" s="1" t="s">
        <v>52</v>
      </c>
      <c r="L73" s="1" t="s">
        <v>57</v>
      </c>
      <c r="O73" s="1" t="s">
        <v>57</v>
      </c>
    </row>
    <row r="74" spans="1:15" x14ac:dyDescent="0.45">
      <c r="B74" s="1">
        <v>1</v>
      </c>
      <c r="I74" s="1" t="s">
        <v>53</v>
      </c>
      <c r="L74" s="1" t="s">
        <v>65</v>
      </c>
      <c r="O74" s="1" t="s">
        <v>41</v>
      </c>
    </row>
    <row r="75" spans="1:15" x14ac:dyDescent="0.45">
      <c r="B75" s="1">
        <v>1</v>
      </c>
      <c r="I75" s="1" t="s">
        <v>43</v>
      </c>
      <c r="L75" s="1" t="s">
        <v>52</v>
      </c>
      <c r="O75" s="1" t="s">
        <v>52</v>
      </c>
    </row>
    <row r="76" spans="1:15" x14ac:dyDescent="0.45">
      <c r="B76" s="1">
        <v>1</v>
      </c>
      <c r="I76" s="1" t="s">
        <v>44</v>
      </c>
      <c r="L76" s="1" t="s">
        <v>79</v>
      </c>
      <c r="O76" s="1" t="s">
        <v>53</v>
      </c>
    </row>
    <row r="77" spans="1:15" x14ac:dyDescent="0.45">
      <c r="B77" s="1">
        <v>1</v>
      </c>
      <c r="I77" s="1" t="s">
        <v>63</v>
      </c>
      <c r="L77" s="1" t="s">
        <v>43</v>
      </c>
      <c r="O77" s="1" t="s">
        <v>43</v>
      </c>
    </row>
    <row r="78" spans="1:15" x14ac:dyDescent="0.45">
      <c r="B78" s="1">
        <v>1</v>
      </c>
      <c r="I78" s="1" t="s">
        <v>64</v>
      </c>
      <c r="L78" s="1" t="s">
        <v>44</v>
      </c>
      <c r="O78" s="1" t="s">
        <v>44</v>
      </c>
    </row>
    <row r="79" spans="1:15" x14ac:dyDescent="0.45">
      <c r="B79" s="1">
        <v>0</v>
      </c>
      <c r="L79" s="1" t="s">
        <v>63</v>
      </c>
      <c r="O79" s="1" t="s">
        <v>58</v>
      </c>
    </row>
    <row r="80" spans="1:15" x14ac:dyDescent="0.45">
      <c r="B80" s="1">
        <v>1</v>
      </c>
      <c r="I80" s="1" t="s">
        <v>31</v>
      </c>
      <c r="L80" s="1" t="s">
        <v>88</v>
      </c>
      <c r="O80" s="1" t="s">
        <v>102</v>
      </c>
    </row>
    <row r="81" spans="1:15" x14ac:dyDescent="0.45">
      <c r="B81" s="1">
        <v>0</v>
      </c>
      <c r="I81" s="4" t="s">
        <v>47</v>
      </c>
    </row>
    <row r="82" spans="1:15" x14ac:dyDescent="0.45">
      <c r="B82" s="1">
        <v>1</v>
      </c>
      <c r="I82" s="1" t="s">
        <v>34</v>
      </c>
      <c r="L82" s="1" t="s">
        <v>89</v>
      </c>
      <c r="O82" s="1" t="s">
        <v>103</v>
      </c>
    </row>
    <row r="83" spans="1:15" x14ac:dyDescent="0.45">
      <c r="B83" s="1">
        <v>1</v>
      </c>
      <c r="I83" s="1" t="s">
        <v>48</v>
      </c>
      <c r="L83" s="4" t="s">
        <v>47</v>
      </c>
      <c r="O83" s="4" t="s">
        <v>47</v>
      </c>
    </row>
    <row r="84" spans="1:15" x14ac:dyDescent="0.45">
      <c r="I84" s="1" t="s">
        <v>35</v>
      </c>
      <c r="L84" s="1" t="s">
        <v>34</v>
      </c>
      <c r="O84" s="1" t="s">
        <v>34</v>
      </c>
    </row>
    <row r="85" spans="1:15" x14ac:dyDescent="0.45">
      <c r="A85" t="s">
        <v>16</v>
      </c>
      <c r="I85" s="1" t="s">
        <v>61</v>
      </c>
      <c r="L85" s="1" t="s">
        <v>48</v>
      </c>
      <c r="O85" s="1" t="s">
        <v>48</v>
      </c>
    </row>
    <row r="86" spans="1:15" x14ac:dyDescent="0.45">
      <c r="B86" s="1">
        <v>1</v>
      </c>
      <c r="C86" s="1">
        <v>0.46450000000000002</v>
      </c>
      <c r="E86">
        <f>AVERAGE(B86:B100)</f>
        <v>0.96666666666666667</v>
      </c>
      <c r="I86" s="1" t="s">
        <v>37</v>
      </c>
      <c r="L86" s="1" t="s">
        <v>91</v>
      </c>
      <c r="O86" s="1" t="s">
        <v>49</v>
      </c>
    </row>
    <row r="87" spans="1:15" x14ac:dyDescent="0.45">
      <c r="B87" s="1">
        <v>1</v>
      </c>
      <c r="I87" s="1" t="s">
        <v>38</v>
      </c>
      <c r="L87" s="1" t="s">
        <v>36</v>
      </c>
      <c r="O87" s="1" t="s">
        <v>36</v>
      </c>
    </row>
    <row r="88" spans="1:15" x14ac:dyDescent="0.45">
      <c r="B88" s="1">
        <v>1</v>
      </c>
      <c r="I88" s="1" t="s">
        <v>39</v>
      </c>
      <c r="L88" s="1" t="s">
        <v>37</v>
      </c>
      <c r="O88" s="1" t="s">
        <v>37</v>
      </c>
    </row>
    <row r="89" spans="1:15" x14ac:dyDescent="0.45">
      <c r="B89" s="1">
        <v>1</v>
      </c>
      <c r="I89" s="1" t="s">
        <v>40</v>
      </c>
      <c r="L89" s="1" t="s">
        <v>86</v>
      </c>
      <c r="O89" s="1" t="s">
        <v>38</v>
      </c>
    </row>
    <row r="90" spans="1:15" x14ac:dyDescent="0.45">
      <c r="B90" s="1">
        <v>1</v>
      </c>
      <c r="I90" s="1" t="s">
        <v>50</v>
      </c>
      <c r="L90" s="1" t="s">
        <v>39</v>
      </c>
      <c r="O90" s="1" t="s">
        <v>39</v>
      </c>
    </row>
    <row r="91" spans="1:15" x14ac:dyDescent="0.45">
      <c r="B91" s="1">
        <v>1</v>
      </c>
      <c r="I91" s="1" t="s">
        <v>57</v>
      </c>
      <c r="L91" s="1" t="s">
        <v>40</v>
      </c>
      <c r="O91" s="1" t="s">
        <v>40</v>
      </c>
    </row>
    <row r="92" spans="1:15" x14ac:dyDescent="0.45">
      <c r="B92" s="1">
        <v>1</v>
      </c>
      <c r="I92" s="1" t="s">
        <v>65</v>
      </c>
      <c r="L92" s="1" t="s">
        <v>78</v>
      </c>
      <c r="O92" s="1" t="s">
        <v>50</v>
      </c>
    </row>
    <row r="93" spans="1:15" x14ac:dyDescent="0.45">
      <c r="B93" s="1">
        <v>1</v>
      </c>
      <c r="I93" s="1" t="s">
        <v>52</v>
      </c>
      <c r="L93" s="1" t="s">
        <v>57</v>
      </c>
      <c r="O93" s="1" t="s">
        <v>57</v>
      </c>
    </row>
    <row r="94" spans="1:15" x14ac:dyDescent="0.45">
      <c r="B94" s="1">
        <v>1</v>
      </c>
      <c r="I94" s="1" t="s">
        <v>42</v>
      </c>
      <c r="L94" s="1" t="s">
        <v>41</v>
      </c>
      <c r="O94" s="1" t="s">
        <v>41</v>
      </c>
    </row>
    <row r="95" spans="1:15" x14ac:dyDescent="0.45">
      <c r="B95" s="1">
        <v>1</v>
      </c>
      <c r="I95" s="1" t="s">
        <v>43</v>
      </c>
      <c r="L95" s="1" t="s">
        <v>52</v>
      </c>
      <c r="O95" s="1" t="s">
        <v>52</v>
      </c>
    </row>
    <row r="96" spans="1:15" x14ac:dyDescent="0.45">
      <c r="B96" s="1">
        <v>1</v>
      </c>
      <c r="I96" s="1" t="s">
        <v>66</v>
      </c>
      <c r="L96" s="1" t="s">
        <v>53</v>
      </c>
      <c r="O96" s="1" t="s">
        <v>53</v>
      </c>
    </row>
    <row r="97" spans="1:15" x14ac:dyDescent="0.45">
      <c r="B97" s="1">
        <v>1</v>
      </c>
      <c r="I97" s="1" t="s">
        <v>67</v>
      </c>
      <c r="L97" s="1" t="s">
        <v>43</v>
      </c>
      <c r="O97" s="1" t="s">
        <v>43</v>
      </c>
    </row>
    <row r="98" spans="1:15" x14ac:dyDescent="0.45">
      <c r="B98" s="1">
        <v>1</v>
      </c>
      <c r="I98" s="1" t="s">
        <v>59</v>
      </c>
      <c r="L98" s="1" t="s">
        <v>44</v>
      </c>
      <c r="O98" s="1" t="s">
        <v>44</v>
      </c>
    </row>
    <row r="99" spans="1:15" x14ac:dyDescent="0.45">
      <c r="B99" s="1">
        <v>0.5</v>
      </c>
      <c r="L99" s="1" t="s">
        <v>70</v>
      </c>
      <c r="O99" s="1" t="s">
        <v>58</v>
      </c>
    </row>
    <row r="100" spans="1:15" x14ac:dyDescent="0.45">
      <c r="B100" s="1">
        <v>1</v>
      </c>
      <c r="I100" s="1" t="s">
        <v>68</v>
      </c>
      <c r="L100" s="1" t="s">
        <v>90</v>
      </c>
      <c r="O100" s="1" t="s">
        <v>104</v>
      </c>
    </row>
    <row r="101" spans="1:15" x14ac:dyDescent="0.45">
      <c r="I101" s="4" t="s">
        <v>47</v>
      </c>
    </row>
    <row r="102" spans="1:15" x14ac:dyDescent="0.45">
      <c r="A102" t="s">
        <v>17</v>
      </c>
      <c r="I102" s="1" t="s">
        <v>34</v>
      </c>
      <c r="L102" s="1" t="s">
        <v>92</v>
      </c>
      <c r="O102" s="1" t="s">
        <v>105</v>
      </c>
    </row>
    <row r="103" spans="1:15" x14ac:dyDescent="0.45">
      <c r="B103" s="1">
        <v>0</v>
      </c>
      <c r="C103" s="1">
        <v>0.46450000000000002</v>
      </c>
      <c r="E103">
        <f>AVERAGE(B103:B117)</f>
        <v>0.8666666666666667</v>
      </c>
      <c r="I103" s="1" t="s">
        <v>48</v>
      </c>
      <c r="L103" s="4" t="s">
        <v>47</v>
      </c>
      <c r="O103" s="4" t="s">
        <v>47</v>
      </c>
    </row>
    <row r="104" spans="1:15" x14ac:dyDescent="0.45">
      <c r="B104" s="1">
        <v>1</v>
      </c>
      <c r="I104" s="1" t="s">
        <v>49</v>
      </c>
      <c r="L104" s="1" t="s">
        <v>34</v>
      </c>
      <c r="O104" s="1" t="s">
        <v>34</v>
      </c>
    </row>
    <row r="105" spans="1:15" x14ac:dyDescent="0.45">
      <c r="B105" s="1">
        <v>1</v>
      </c>
      <c r="I105" s="1" t="s">
        <v>36</v>
      </c>
      <c r="L105" s="1" t="s">
        <v>48</v>
      </c>
      <c r="O105" s="1" t="s">
        <v>48</v>
      </c>
    </row>
    <row r="106" spans="1:15" x14ac:dyDescent="0.45">
      <c r="B106" s="1">
        <v>1</v>
      </c>
      <c r="I106" s="1" t="s">
        <v>69</v>
      </c>
      <c r="L106" s="1" t="s">
        <v>49</v>
      </c>
      <c r="O106" s="1" t="s">
        <v>49</v>
      </c>
    </row>
    <row r="107" spans="1:15" x14ac:dyDescent="0.45">
      <c r="B107" s="1">
        <v>1</v>
      </c>
      <c r="I107" s="1" t="s">
        <v>38</v>
      </c>
      <c r="L107" s="1" t="s">
        <v>36</v>
      </c>
      <c r="O107" s="1" t="s">
        <v>36</v>
      </c>
    </row>
    <row r="108" spans="1:15" x14ac:dyDescent="0.45">
      <c r="B108" s="1">
        <v>0</v>
      </c>
      <c r="I108" s="1" t="s">
        <v>39</v>
      </c>
      <c r="L108" s="1" t="s">
        <v>37</v>
      </c>
      <c r="O108" s="1" t="s">
        <v>37</v>
      </c>
    </row>
    <row r="109" spans="1:15" x14ac:dyDescent="0.45">
      <c r="B109" s="1">
        <v>1</v>
      </c>
      <c r="I109" s="1" t="s">
        <v>40</v>
      </c>
      <c r="L109" s="1" t="s">
        <v>38</v>
      </c>
      <c r="O109" s="1" t="s">
        <v>38</v>
      </c>
    </row>
    <row r="110" spans="1:15" x14ac:dyDescent="0.45">
      <c r="B110" s="1">
        <v>1</v>
      </c>
      <c r="I110" s="1" t="s">
        <v>50</v>
      </c>
      <c r="L110" s="1" t="s">
        <v>39</v>
      </c>
      <c r="O110" s="1" t="s">
        <v>39</v>
      </c>
    </row>
    <row r="111" spans="1:15" x14ac:dyDescent="0.45">
      <c r="B111" s="1">
        <v>1</v>
      </c>
      <c r="I111" s="1" t="s">
        <v>57</v>
      </c>
      <c r="L111" s="1" t="s">
        <v>40</v>
      </c>
      <c r="O111" s="1" t="s">
        <v>40</v>
      </c>
    </row>
    <row r="112" spans="1:15" x14ac:dyDescent="0.45">
      <c r="B112" s="1">
        <v>1</v>
      </c>
      <c r="I112" s="1" t="s">
        <v>41</v>
      </c>
      <c r="L112" s="1" t="s">
        <v>50</v>
      </c>
      <c r="O112" s="1" t="s">
        <v>50</v>
      </c>
    </row>
    <row r="113" spans="1:15" x14ac:dyDescent="0.45">
      <c r="B113" s="1">
        <v>1</v>
      </c>
      <c r="I113" s="1" t="s">
        <v>52</v>
      </c>
      <c r="L113" s="1" t="s">
        <v>57</v>
      </c>
      <c r="O113" s="1" t="s">
        <v>57</v>
      </c>
    </row>
    <row r="114" spans="1:15" x14ac:dyDescent="0.45">
      <c r="B114" s="1">
        <v>1</v>
      </c>
      <c r="I114" s="1" t="s">
        <v>53</v>
      </c>
      <c r="L114" s="1" t="s">
        <v>93</v>
      </c>
      <c r="O114" s="1" t="s">
        <v>41</v>
      </c>
    </row>
    <row r="115" spans="1:15" x14ac:dyDescent="0.45">
      <c r="B115" s="1">
        <v>1</v>
      </c>
      <c r="I115" s="1" t="s">
        <v>43</v>
      </c>
      <c r="L115" s="1" t="s">
        <v>52</v>
      </c>
      <c r="O115" s="1" t="s">
        <v>52</v>
      </c>
    </row>
    <row r="116" spans="1:15" x14ac:dyDescent="0.45">
      <c r="B116" s="1">
        <v>1</v>
      </c>
      <c r="I116" s="1" t="s">
        <v>44</v>
      </c>
      <c r="L116" s="1" t="s">
        <v>53</v>
      </c>
      <c r="O116" s="1" t="s">
        <v>53</v>
      </c>
    </row>
    <row r="117" spans="1:15" x14ac:dyDescent="0.45">
      <c r="B117" s="1">
        <v>1</v>
      </c>
      <c r="I117" s="1" t="s">
        <v>70</v>
      </c>
      <c r="L117" s="1" t="s">
        <v>43</v>
      </c>
      <c r="O117" s="1" t="s">
        <v>82</v>
      </c>
    </row>
    <row r="118" spans="1:15" x14ac:dyDescent="0.45">
      <c r="I118" s="1" t="s">
        <v>59</v>
      </c>
      <c r="L118" s="1" t="s">
        <v>44</v>
      </c>
      <c r="O118" s="1" t="s">
        <v>44</v>
      </c>
    </row>
    <row r="119" spans="1:15" x14ac:dyDescent="0.45">
      <c r="A119" t="s">
        <v>18</v>
      </c>
      <c r="L119" s="1" t="s">
        <v>54</v>
      </c>
      <c r="O119" s="1" t="s">
        <v>70</v>
      </c>
    </row>
    <row r="120" spans="1:15" x14ac:dyDescent="0.45">
      <c r="B120" s="1">
        <v>1</v>
      </c>
      <c r="C120" s="1">
        <v>0.40949999999999998</v>
      </c>
      <c r="E120">
        <f>AVERAGE(B120:B134)</f>
        <v>0.9</v>
      </c>
      <c r="L120" s="1" t="s">
        <v>94</v>
      </c>
      <c r="O120" s="1" t="s">
        <v>106</v>
      </c>
    </row>
    <row r="121" spans="1:15" x14ac:dyDescent="0.45">
      <c r="B121" s="1">
        <v>1</v>
      </c>
    </row>
    <row r="122" spans="1:15" x14ac:dyDescent="0.45">
      <c r="B122" s="1">
        <v>1</v>
      </c>
    </row>
    <row r="123" spans="1:15" x14ac:dyDescent="0.45">
      <c r="B123" s="1">
        <v>1</v>
      </c>
    </row>
    <row r="124" spans="1:15" x14ac:dyDescent="0.45">
      <c r="B124" s="1">
        <v>0.5</v>
      </c>
    </row>
    <row r="125" spans="1:15" x14ac:dyDescent="0.45">
      <c r="B125" s="1">
        <v>1</v>
      </c>
    </row>
    <row r="126" spans="1:15" x14ac:dyDescent="0.45">
      <c r="B126" s="1">
        <v>1</v>
      </c>
    </row>
    <row r="127" spans="1:15" x14ac:dyDescent="0.45">
      <c r="B127" s="1">
        <v>0</v>
      </c>
    </row>
    <row r="128" spans="1:15" x14ac:dyDescent="0.45">
      <c r="B128" s="1">
        <v>1</v>
      </c>
    </row>
    <row r="129" spans="1:5" x14ac:dyDescent="0.45">
      <c r="B129" s="1">
        <v>1</v>
      </c>
    </row>
    <row r="130" spans="1:5" x14ac:dyDescent="0.45">
      <c r="B130" s="1">
        <v>1</v>
      </c>
    </row>
    <row r="131" spans="1:5" x14ac:dyDescent="0.45">
      <c r="B131" s="1">
        <v>1</v>
      </c>
    </row>
    <row r="132" spans="1:5" x14ac:dyDescent="0.45">
      <c r="B132" s="1">
        <v>1</v>
      </c>
    </row>
    <row r="133" spans="1:5" x14ac:dyDescent="0.45">
      <c r="B133" s="1">
        <v>1</v>
      </c>
    </row>
    <row r="134" spans="1:5" x14ac:dyDescent="0.45">
      <c r="B134" s="1">
        <v>1</v>
      </c>
    </row>
    <row r="136" spans="1:5" x14ac:dyDescent="0.45">
      <c r="A136" t="s">
        <v>19</v>
      </c>
    </row>
    <row r="137" spans="1:5" x14ac:dyDescent="0.45">
      <c r="B137" s="1">
        <v>0.5</v>
      </c>
      <c r="C137" s="1">
        <v>0.66659999999999997</v>
      </c>
      <c r="E137">
        <f>AVERAGE(B137:B151)</f>
        <v>0.8</v>
      </c>
    </row>
    <row r="138" spans="1:5" x14ac:dyDescent="0.45">
      <c r="B138" s="1">
        <v>1</v>
      </c>
    </row>
    <row r="139" spans="1:5" x14ac:dyDescent="0.45">
      <c r="B139" s="1">
        <v>1</v>
      </c>
    </row>
    <row r="140" spans="1:5" x14ac:dyDescent="0.45">
      <c r="B140" s="1">
        <v>1</v>
      </c>
    </row>
    <row r="141" spans="1:5" x14ac:dyDescent="0.45">
      <c r="B141" s="1">
        <v>1</v>
      </c>
    </row>
    <row r="142" spans="1:5" x14ac:dyDescent="0.45">
      <c r="B142" s="1">
        <v>1</v>
      </c>
    </row>
    <row r="143" spans="1:5" x14ac:dyDescent="0.45">
      <c r="B143" s="1">
        <v>1</v>
      </c>
    </row>
    <row r="144" spans="1:5" x14ac:dyDescent="0.45">
      <c r="B144" s="1">
        <v>1</v>
      </c>
    </row>
    <row r="145" spans="1:5" x14ac:dyDescent="0.45">
      <c r="B145" s="1">
        <v>0</v>
      </c>
    </row>
    <row r="146" spans="1:5" x14ac:dyDescent="0.45">
      <c r="B146" s="1">
        <v>0</v>
      </c>
    </row>
    <row r="147" spans="1:5" x14ac:dyDescent="0.45">
      <c r="B147" s="1">
        <v>1</v>
      </c>
    </row>
    <row r="148" spans="1:5" x14ac:dyDescent="0.45">
      <c r="B148" s="1">
        <v>1</v>
      </c>
    </row>
    <row r="149" spans="1:5" x14ac:dyDescent="0.45">
      <c r="B149" s="1">
        <v>1</v>
      </c>
    </row>
    <row r="150" spans="1:5" x14ac:dyDescent="0.45">
      <c r="B150" s="1">
        <v>1</v>
      </c>
    </row>
    <row r="151" spans="1:5" x14ac:dyDescent="0.45">
      <c r="B151" s="1">
        <v>0.5</v>
      </c>
    </row>
    <row r="153" spans="1:5" x14ac:dyDescent="0.45">
      <c r="A153" t="s">
        <v>20</v>
      </c>
    </row>
    <row r="154" spans="1:5" x14ac:dyDescent="0.45">
      <c r="B154" s="1">
        <v>0.5</v>
      </c>
      <c r="C154" s="1">
        <v>0.90029999999999999</v>
      </c>
      <c r="E154">
        <f>AVERAGE(B154:B168)</f>
        <v>0.8666666666666667</v>
      </c>
    </row>
    <row r="155" spans="1:5" x14ac:dyDescent="0.45">
      <c r="B155" s="1">
        <v>1</v>
      </c>
    </row>
    <row r="156" spans="1:5" x14ac:dyDescent="0.45">
      <c r="B156" s="1">
        <v>1</v>
      </c>
    </row>
    <row r="157" spans="1:5" x14ac:dyDescent="0.45">
      <c r="B157" s="1">
        <v>1</v>
      </c>
    </row>
    <row r="158" spans="1:5" x14ac:dyDescent="0.45">
      <c r="B158" s="1">
        <v>1</v>
      </c>
    </row>
    <row r="159" spans="1:5" x14ac:dyDescent="0.45">
      <c r="B159" s="1">
        <v>1</v>
      </c>
    </row>
    <row r="160" spans="1:5" x14ac:dyDescent="0.45">
      <c r="B160" s="1">
        <v>1</v>
      </c>
    </row>
    <row r="161" spans="1:5" x14ac:dyDescent="0.45">
      <c r="B161" s="1">
        <v>1</v>
      </c>
    </row>
    <row r="162" spans="1:5" x14ac:dyDescent="0.45">
      <c r="B162" s="1">
        <v>0.5</v>
      </c>
    </row>
    <row r="163" spans="1:5" x14ac:dyDescent="0.45">
      <c r="B163" s="1">
        <v>1</v>
      </c>
    </row>
    <row r="164" spans="1:5" x14ac:dyDescent="0.45">
      <c r="B164" s="1">
        <v>1</v>
      </c>
    </row>
    <row r="165" spans="1:5" x14ac:dyDescent="0.45">
      <c r="B165" s="1">
        <v>0.5</v>
      </c>
    </row>
    <row r="166" spans="1:5" x14ac:dyDescent="0.45">
      <c r="B166" s="1">
        <v>1</v>
      </c>
    </row>
    <row r="167" spans="1:5" x14ac:dyDescent="0.45">
      <c r="B167" s="1">
        <v>0.5</v>
      </c>
    </row>
    <row r="168" spans="1:5" x14ac:dyDescent="0.45">
      <c r="B168" s="1">
        <v>1</v>
      </c>
    </row>
    <row r="170" spans="1:5" x14ac:dyDescent="0.45">
      <c r="A170" t="s">
        <v>21</v>
      </c>
    </row>
    <row r="171" spans="1:5" x14ac:dyDescent="0.45">
      <c r="B171" s="1">
        <v>0.5</v>
      </c>
      <c r="C171" s="1">
        <v>1</v>
      </c>
      <c r="E171">
        <f>AVERAGE(B171:B185)</f>
        <v>0.73333333333333328</v>
      </c>
    </row>
    <row r="172" spans="1:5" x14ac:dyDescent="0.45">
      <c r="B172" s="1">
        <v>0.5</v>
      </c>
    </row>
    <row r="173" spans="1:5" x14ac:dyDescent="0.45">
      <c r="B173" s="1">
        <v>0.5</v>
      </c>
    </row>
    <row r="174" spans="1:5" x14ac:dyDescent="0.45">
      <c r="B174" s="1">
        <v>1</v>
      </c>
    </row>
    <row r="175" spans="1:5" x14ac:dyDescent="0.45">
      <c r="B175" s="1">
        <v>1</v>
      </c>
    </row>
    <row r="176" spans="1:5" x14ac:dyDescent="0.45">
      <c r="B176" s="1">
        <v>1</v>
      </c>
    </row>
    <row r="177" spans="1:6" x14ac:dyDescent="0.45">
      <c r="B177" s="1">
        <v>0.5</v>
      </c>
    </row>
    <row r="178" spans="1:6" x14ac:dyDescent="0.45">
      <c r="B178" s="1">
        <v>0.5</v>
      </c>
    </row>
    <row r="179" spans="1:6" x14ac:dyDescent="0.45">
      <c r="B179" s="1">
        <v>1</v>
      </c>
    </row>
    <row r="180" spans="1:6" x14ac:dyDescent="0.45">
      <c r="B180" s="1">
        <v>1</v>
      </c>
    </row>
    <row r="181" spans="1:6" x14ac:dyDescent="0.45">
      <c r="B181" s="1">
        <v>1</v>
      </c>
    </row>
    <row r="182" spans="1:6" x14ac:dyDescent="0.45">
      <c r="B182" s="1">
        <v>0.5</v>
      </c>
    </row>
    <row r="183" spans="1:6" ht="23.4" x14ac:dyDescent="0.45">
      <c r="B183" s="1">
        <v>1</v>
      </c>
      <c r="F183" s="3"/>
    </row>
    <row r="184" spans="1:6" x14ac:dyDescent="0.45">
      <c r="B184" s="1">
        <v>0.5</v>
      </c>
    </row>
    <row r="185" spans="1:6" x14ac:dyDescent="0.45">
      <c r="B185" s="1">
        <v>0.5</v>
      </c>
    </row>
    <row r="187" spans="1:6" x14ac:dyDescent="0.45">
      <c r="A187" t="s">
        <v>22</v>
      </c>
    </row>
    <row r="188" spans="1:6" x14ac:dyDescent="0.45">
      <c r="B188" s="1">
        <v>1</v>
      </c>
      <c r="C188" s="1">
        <v>1</v>
      </c>
      <c r="E188">
        <f>AVERAGE(B188:B202)</f>
        <v>0.93333333333333335</v>
      </c>
    </row>
    <row r="189" spans="1:6" x14ac:dyDescent="0.45">
      <c r="B189" s="1">
        <v>1</v>
      </c>
    </row>
    <row r="190" spans="1:6" x14ac:dyDescent="0.45">
      <c r="B190" s="1">
        <v>1</v>
      </c>
    </row>
    <row r="191" spans="1:6" x14ac:dyDescent="0.45">
      <c r="B191" s="1">
        <v>1</v>
      </c>
    </row>
    <row r="192" spans="1:6" x14ac:dyDescent="0.45">
      <c r="B192" s="1">
        <v>0.5</v>
      </c>
    </row>
    <row r="193" spans="1:5" x14ac:dyDescent="0.45">
      <c r="B193" s="1">
        <v>1</v>
      </c>
    </row>
    <row r="194" spans="1:5" x14ac:dyDescent="0.45">
      <c r="B194" s="1">
        <v>1</v>
      </c>
    </row>
    <row r="195" spans="1:5" x14ac:dyDescent="0.45">
      <c r="B195" s="1">
        <v>1</v>
      </c>
    </row>
    <row r="196" spans="1:5" x14ac:dyDescent="0.45">
      <c r="B196" s="1">
        <v>0.5</v>
      </c>
    </row>
    <row r="197" spans="1:5" x14ac:dyDescent="0.45">
      <c r="B197" s="1">
        <v>1</v>
      </c>
    </row>
    <row r="198" spans="1:5" x14ac:dyDescent="0.45">
      <c r="B198" s="1">
        <v>1</v>
      </c>
    </row>
    <row r="199" spans="1:5" x14ac:dyDescent="0.45">
      <c r="B199" s="1">
        <v>1</v>
      </c>
    </row>
    <row r="200" spans="1:5" x14ac:dyDescent="0.45">
      <c r="B200" s="1">
        <v>1</v>
      </c>
    </row>
    <row r="201" spans="1:5" x14ac:dyDescent="0.45">
      <c r="B201" s="1">
        <v>1</v>
      </c>
    </row>
    <row r="202" spans="1:5" x14ac:dyDescent="0.45">
      <c r="B202" s="1">
        <v>1</v>
      </c>
    </row>
    <row r="204" spans="1:5" x14ac:dyDescent="0.45">
      <c r="A204" t="s">
        <v>23</v>
      </c>
    </row>
    <row r="205" spans="1:5" x14ac:dyDescent="0.45">
      <c r="B205" s="1">
        <v>1</v>
      </c>
      <c r="C205" s="1">
        <v>0.34849999999999998</v>
      </c>
      <c r="E205">
        <f>AVERAGE(B205:B219)</f>
        <v>0.93333333333333335</v>
      </c>
    </row>
    <row r="206" spans="1:5" x14ac:dyDescent="0.45">
      <c r="B206" s="1">
        <v>0.5</v>
      </c>
    </row>
    <row r="207" spans="1:5" x14ac:dyDescent="0.45">
      <c r="B207" s="1">
        <v>1</v>
      </c>
    </row>
    <row r="208" spans="1:5" x14ac:dyDescent="0.45">
      <c r="B208" s="1">
        <v>0.5</v>
      </c>
    </row>
    <row r="209" spans="1:5" x14ac:dyDescent="0.45">
      <c r="B209" s="1">
        <v>1</v>
      </c>
    </row>
    <row r="210" spans="1:5" x14ac:dyDescent="0.45">
      <c r="B210" s="1">
        <v>1</v>
      </c>
    </row>
    <row r="211" spans="1:5" x14ac:dyDescent="0.45">
      <c r="B211" s="1">
        <v>1</v>
      </c>
    </row>
    <row r="212" spans="1:5" x14ac:dyDescent="0.45">
      <c r="B212" s="1">
        <v>1</v>
      </c>
    </row>
    <row r="213" spans="1:5" x14ac:dyDescent="0.45">
      <c r="B213" s="1">
        <v>1</v>
      </c>
    </row>
    <row r="214" spans="1:5" x14ac:dyDescent="0.45">
      <c r="B214" s="1">
        <v>1</v>
      </c>
    </row>
    <row r="215" spans="1:5" x14ac:dyDescent="0.45">
      <c r="B215" s="1">
        <v>1</v>
      </c>
    </row>
    <row r="216" spans="1:5" x14ac:dyDescent="0.45">
      <c r="B216" s="1">
        <v>1</v>
      </c>
    </row>
    <row r="217" spans="1:5" x14ac:dyDescent="0.45">
      <c r="B217" s="1">
        <v>1</v>
      </c>
    </row>
    <row r="218" spans="1:5" x14ac:dyDescent="0.45">
      <c r="B218" s="1">
        <v>1</v>
      </c>
    </row>
    <row r="219" spans="1:5" x14ac:dyDescent="0.45">
      <c r="B219" s="1">
        <v>1</v>
      </c>
    </row>
    <row r="221" spans="1:5" x14ac:dyDescent="0.45">
      <c r="A221" t="s">
        <v>24</v>
      </c>
    </row>
    <row r="222" spans="1:5" x14ac:dyDescent="0.45">
      <c r="B222" s="1">
        <v>1</v>
      </c>
      <c r="C222" s="1">
        <v>0.2838</v>
      </c>
      <c r="E222">
        <f>AVERAGE(B222:B236)</f>
        <v>0.9</v>
      </c>
    </row>
    <row r="223" spans="1:5" x14ac:dyDescent="0.45">
      <c r="B223" s="1">
        <v>1</v>
      </c>
    </row>
    <row r="224" spans="1:5" x14ac:dyDescent="0.45">
      <c r="B224" s="1">
        <v>1</v>
      </c>
    </row>
    <row r="225" spans="1:13" x14ac:dyDescent="0.45">
      <c r="B225" s="1">
        <v>1</v>
      </c>
    </row>
    <row r="226" spans="1:13" x14ac:dyDescent="0.45">
      <c r="B226" s="1">
        <v>1</v>
      </c>
    </row>
    <row r="227" spans="1:13" x14ac:dyDescent="0.45">
      <c r="B227" s="1">
        <v>1</v>
      </c>
    </row>
    <row r="228" spans="1:13" x14ac:dyDescent="0.45">
      <c r="B228" s="1">
        <v>1</v>
      </c>
    </row>
    <row r="229" spans="1:13" x14ac:dyDescent="0.45">
      <c r="B229" s="1">
        <v>1</v>
      </c>
    </row>
    <row r="230" spans="1:13" x14ac:dyDescent="0.45">
      <c r="B230" s="1">
        <v>1</v>
      </c>
    </row>
    <row r="231" spans="1:13" x14ac:dyDescent="0.45">
      <c r="B231" s="1">
        <v>1</v>
      </c>
    </row>
    <row r="232" spans="1:13" x14ac:dyDescent="0.45">
      <c r="B232" s="1">
        <v>0.5</v>
      </c>
    </row>
    <row r="233" spans="1:13" x14ac:dyDescent="0.45">
      <c r="B233" s="1">
        <v>1</v>
      </c>
    </row>
    <row r="234" spans="1:13" x14ac:dyDescent="0.45">
      <c r="B234" s="1">
        <v>0</v>
      </c>
    </row>
    <row r="235" spans="1:13" x14ac:dyDescent="0.45">
      <c r="B235" s="1">
        <v>1</v>
      </c>
    </row>
    <row r="236" spans="1:13" x14ac:dyDescent="0.45">
      <c r="B236" s="1">
        <v>1</v>
      </c>
    </row>
    <row r="238" spans="1:13" x14ac:dyDescent="0.45">
      <c r="A238" t="s">
        <v>25</v>
      </c>
    </row>
    <row r="239" spans="1:13" x14ac:dyDescent="0.45">
      <c r="B239" s="1">
        <v>1</v>
      </c>
      <c r="C239">
        <v>0.43369999999999997</v>
      </c>
      <c r="E239">
        <f>AVERAGE(B239:B253)</f>
        <v>1</v>
      </c>
    </row>
    <row r="240" spans="1:13" x14ac:dyDescent="0.45">
      <c r="B240" s="1">
        <v>1</v>
      </c>
      <c r="J240" t="s">
        <v>107</v>
      </c>
      <c r="K240" t="s">
        <v>108</v>
      </c>
      <c r="L240" t="s">
        <v>109</v>
      </c>
      <c r="M240" t="s">
        <v>110</v>
      </c>
    </row>
    <row r="241" spans="1:13" x14ac:dyDescent="0.45">
      <c r="B241" s="1">
        <v>1</v>
      </c>
      <c r="I241">
        <v>0</v>
      </c>
      <c r="J241">
        <v>1</v>
      </c>
      <c r="K241">
        <v>1</v>
      </c>
      <c r="L241">
        <v>0.93330000000000002</v>
      </c>
      <c r="M241">
        <v>1</v>
      </c>
    </row>
    <row r="242" spans="1:13" x14ac:dyDescent="0.45">
      <c r="B242" s="1">
        <v>1</v>
      </c>
      <c r="I242">
        <v>0.2</v>
      </c>
      <c r="J242">
        <v>1</v>
      </c>
      <c r="K242">
        <v>0.9667</v>
      </c>
      <c r="L242">
        <v>0.83330000000000004</v>
      </c>
      <c r="M242">
        <v>1</v>
      </c>
    </row>
    <row r="243" spans="1:13" x14ac:dyDescent="0.45">
      <c r="B243" s="1">
        <v>1</v>
      </c>
      <c r="I243">
        <v>0.4</v>
      </c>
      <c r="J243">
        <v>0.93330000000000002</v>
      </c>
      <c r="K243">
        <v>1</v>
      </c>
      <c r="L243">
        <v>0.86670000000000003</v>
      </c>
      <c r="M243">
        <v>1</v>
      </c>
    </row>
    <row r="244" spans="1:13" x14ac:dyDescent="0.45">
      <c r="B244" s="1">
        <v>1</v>
      </c>
      <c r="I244">
        <v>0.6</v>
      </c>
      <c r="J244">
        <v>1</v>
      </c>
      <c r="K244">
        <v>0.8</v>
      </c>
      <c r="L244">
        <v>0.8</v>
      </c>
      <c r="M244">
        <v>1</v>
      </c>
    </row>
    <row r="245" spans="1:13" x14ac:dyDescent="0.45">
      <c r="B245" s="1">
        <v>1</v>
      </c>
      <c r="I245">
        <v>0.8</v>
      </c>
      <c r="J245">
        <v>1</v>
      </c>
      <c r="K245">
        <v>0.66669999999999996</v>
      </c>
      <c r="L245">
        <v>0.93330000000000002</v>
      </c>
      <c r="M245">
        <v>1</v>
      </c>
    </row>
    <row r="246" spans="1:13" x14ac:dyDescent="0.45">
      <c r="B246" s="1">
        <v>1</v>
      </c>
      <c r="I246">
        <v>1</v>
      </c>
      <c r="J246">
        <v>1</v>
      </c>
      <c r="K246">
        <v>0.93330000000000002</v>
      </c>
      <c r="L246">
        <v>0.9667</v>
      </c>
      <c r="M246">
        <v>1</v>
      </c>
    </row>
    <row r="247" spans="1:13" x14ac:dyDescent="0.45">
      <c r="B247" s="1">
        <v>1</v>
      </c>
    </row>
    <row r="248" spans="1:13" x14ac:dyDescent="0.45">
      <c r="B248" s="1">
        <v>1</v>
      </c>
    </row>
    <row r="249" spans="1:13" x14ac:dyDescent="0.45">
      <c r="B249" s="1">
        <v>1</v>
      </c>
    </row>
    <row r="250" spans="1:13" x14ac:dyDescent="0.45">
      <c r="B250" s="1">
        <v>1</v>
      </c>
    </row>
    <row r="251" spans="1:13" x14ac:dyDescent="0.45">
      <c r="B251" s="1">
        <v>1</v>
      </c>
    </row>
    <row r="252" spans="1:13" x14ac:dyDescent="0.45">
      <c r="B252" s="1">
        <v>1</v>
      </c>
    </row>
    <row r="253" spans="1:13" x14ac:dyDescent="0.45">
      <c r="B253" s="1">
        <v>1</v>
      </c>
    </row>
    <row r="255" spans="1:13" x14ac:dyDescent="0.45">
      <c r="A255" t="s">
        <v>26</v>
      </c>
    </row>
    <row r="256" spans="1:13" x14ac:dyDescent="0.45">
      <c r="B256" s="1">
        <v>1</v>
      </c>
      <c r="C256" s="1">
        <v>0.34849999999999998</v>
      </c>
      <c r="E256">
        <f>AVERAGE(B256:B270)</f>
        <v>1</v>
      </c>
    </row>
    <row r="257" spans="1:2" x14ac:dyDescent="0.45">
      <c r="B257" s="1">
        <v>1</v>
      </c>
    </row>
    <row r="258" spans="1:2" x14ac:dyDescent="0.45">
      <c r="B258" s="1">
        <v>1</v>
      </c>
    </row>
    <row r="259" spans="1:2" x14ac:dyDescent="0.45">
      <c r="B259" s="1">
        <v>1</v>
      </c>
    </row>
    <row r="260" spans="1:2" x14ac:dyDescent="0.45">
      <c r="B260" s="1">
        <v>1</v>
      </c>
    </row>
    <row r="261" spans="1:2" x14ac:dyDescent="0.45">
      <c r="B261" s="1">
        <v>1</v>
      </c>
    </row>
    <row r="262" spans="1:2" x14ac:dyDescent="0.45">
      <c r="B262" s="1">
        <v>1</v>
      </c>
    </row>
    <row r="263" spans="1:2" x14ac:dyDescent="0.45">
      <c r="B263" s="1">
        <v>1</v>
      </c>
    </row>
    <row r="264" spans="1:2" x14ac:dyDescent="0.45">
      <c r="B264" s="1">
        <v>1</v>
      </c>
    </row>
    <row r="265" spans="1:2" x14ac:dyDescent="0.45">
      <c r="B265" s="1">
        <v>1</v>
      </c>
    </row>
    <row r="266" spans="1:2" x14ac:dyDescent="0.45">
      <c r="B266" s="1">
        <v>1</v>
      </c>
    </row>
    <row r="267" spans="1:2" x14ac:dyDescent="0.45">
      <c r="B267" s="1">
        <v>1</v>
      </c>
    </row>
    <row r="268" spans="1:2" x14ac:dyDescent="0.45">
      <c r="B268" s="1">
        <v>1</v>
      </c>
    </row>
    <row r="269" spans="1:2" x14ac:dyDescent="0.45">
      <c r="B269" s="1">
        <v>1</v>
      </c>
    </row>
    <row r="270" spans="1:2" x14ac:dyDescent="0.45">
      <c r="B270" s="1">
        <v>1</v>
      </c>
    </row>
    <row r="272" spans="1:2" x14ac:dyDescent="0.45">
      <c r="A272" t="s">
        <v>27</v>
      </c>
    </row>
    <row r="273" spans="2:5" x14ac:dyDescent="0.45">
      <c r="B273" s="1">
        <v>1</v>
      </c>
      <c r="C273" s="1">
        <v>0.61119999999999997</v>
      </c>
      <c r="E273">
        <f>AVERAGE(B273:B287)</f>
        <v>1</v>
      </c>
    </row>
    <row r="274" spans="2:5" x14ac:dyDescent="0.45">
      <c r="B274" s="1">
        <v>1</v>
      </c>
    </row>
    <row r="275" spans="2:5" x14ac:dyDescent="0.45">
      <c r="B275" s="1">
        <v>1</v>
      </c>
    </row>
    <row r="276" spans="2:5" x14ac:dyDescent="0.45">
      <c r="B276" s="1">
        <v>1</v>
      </c>
    </row>
    <row r="277" spans="2:5" x14ac:dyDescent="0.45">
      <c r="B277" s="1">
        <v>1</v>
      </c>
    </row>
    <row r="278" spans="2:5" x14ac:dyDescent="0.45">
      <c r="B278" s="1">
        <v>1</v>
      </c>
    </row>
    <row r="279" spans="2:5" x14ac:dyDescent="0.45">
      <c r="B279" s="1">
        <v>1</v>
      </c>
    </row>
    <row r="280" spans="2:5" x14ac:dyDescent="0.45">
      <c r="B280" s="1">
        <v>1</v>
      </c>
    </row>
    <row r="281" spans="2:5" x14ac:dyDescent="0.45">
      <c r="B281" s="1">
        <v>1</v>
      </c>
    </row>
    <row r="282" spans="2:5" x14ac:dyDescent="0.45">
      <c r="B282" s="1">
        <v>1</v>
      </c>
    </row>
    <row r="283" spans="2:5" x14ac:dyDescent="0.45">
      <c r="B283" s="1">
        <v>1</v>
      </c>
    </row>
    <row r="284" spans="2:5" x14ac:dyDescent="0.45">
      <c r="B284" s="1">
        <v>1</v>
      </c>
    </row>
    <row r="285" spans="2:5" x14ac:dyDescent="0.45">
      <c r="B285" s="1">
        <v>1</v>
      </c>
    </row>
    <row r="286" spans="2:5" x14ac:dyDescent="0.45">
      <c r="B286" s="1">
        <v>1</v>
      </c>
    </row>
    <row r="287" spans="2:5" x14ac:dyDescent="0.45">
      <c r="B287" s="1">
        <v>1</v>
      </c>
    </row>
    <row r="289" spans="1:5" x14ac:dyDescent="0.45">
      <c r="A289" t="s">
        <v>28</v>
      </c>
    </row>
    <row r="290" spans="1:5" x14ac:dyDescent="0.45">
      <c r="B290" s="1">
        <v>1</v>
      </c>
      <c r="C290" s="1">
        <v>0.7147</v>
      </c>
      <c r="E290">
        <f>AVERAGE(B290:B304)</f>
        <v>0.93333333333333335</v>
      </c>
    </row>
    <row r="291" spans="1:5" x14ac:dyDescent="0.45">
      <c r="B291" s="1">
        <v>1</v>
      </c>
    </row>
    <row r="292" spans="1:5" x14ac:dyDescent="0.45">
      <c r="B292" s="1">
        <v>1</v>
      </c>
    </row>
    <row r="293" spans="1:5" x14ac:dyDescent="0.45">
      <c r="B293" s="1">
        <v>1</v>
      </c>
    </row>
    <row r="294" spans="1:5" x14ac:dyDescent="0.45">
      <c r="B294" s="1">
        <v>1</v>
      </c>
    </row>
    <row r="295" spans="1:5" x14ac:dyDescent="0.45">
      <c r="B295" s="1">
        <v>1</v>
      </c>
    </row>
    <row r="296" spans="1:5" x14ac:dyDescent="0.45">
      <c r="B296" s="1">
        <v>0</v>
      </c>
    </row>
    <row r="297" spans="1:5" x14ac:dyDescent="0.45">
      <c r="B297" s="1">
        <v>1</v>
      </c>
    </row>
    <row r="298" spans="1:5" x14ac:dyDescent="0.45">
      <c r="B298" s="1">
        <v>1</v>
      </c>
    </row>
    <row r="299" spans="1:5" x14ac:dyDescent="0.45">
      <c r="B299" s="1">
        <v>1</v>
      </c>
    </row>
    <row r="300" spans="1:5" x14ac:dyDescent="0.45">
      <c r="B300" s="1">
        <v>1</v>
      </c>
    </row>
    <row r="301" spans="1:5" x14ac:dyDescent="0.45">
      <c r="B301" s="1">
        <v>1</v>
      </c>
    </row>
    <row r="302" spans="1:5" x14ac:dyDescent="0.45">
      <c r="B302" s="1">
        <v>1</v>
      </c>
    </row>
    <row r="303" spans="1:5" x14ac:dyDescent="0.45">
      <c r="B303" s="1">
        <v>1</v>
      </c>
    </row>
    <row r="304" spans="1:5" x14ac:dyDescent="0.45">
      <c r="B304" s="1">
        <v>1</v>
      </c>
    </row>
    <row r="306" spans="1:5" x14ac:dyDescent="0.45">
      <c r="A306" t="s">
        <v>29</v>
      </c>
    </row>
    <row r="307" spans="1:5" x14ac:dyDescent="0.45">
      <c r="B307" s="1">
        <v>1</v>
      </c>
      <c r="C307" s="1">
        <v>0.8931</v>
      </c>
      <c r="E307">
        <f>AVERAGE(B307:B321)</f>
        <v>1</v>
      </c>
    </row>
    <row r="308" spans="1:5" x14ac:dyDescent="0.45">
      <c r="B308" s="1">
        <v>1</v>
      </c>
    </row>
    <row r="309" spans="1:5" x14ac:dyDescent="0.45">
      <c r="B309" s="1">
        <v>1</v>
      </c>
    </row>
    <row r="310" spans="1:5" x14ac:dyDescent="0.45">
      <c r="B310" s="1">
        <v>1</v>
      </c>
    </row>
    <row r="311" spans="1:5" x14ac:dyDescent="0.45">
      <c r="B311" s="1">
        <v>1</v>
      </c>
    </row>
    <row r="312" spans="1:5" x14ac:dyDescent="0.45">
      <c r="B312" s="1">
        <v>1</v>
      </c>
    </row>
    <row r="313" spans="1:5" x14ac:dyDescent="0.45">
      <c r="B313" s="1">
        <v>1</v>
      </c>
    </row>
    <row r="314" spans="1:5" x14ac:dyDescent="0.45">
      <c r="B314" s="1">
        <v>1</v>
      </c>
    </row>
    <row r="315" spans="1:5" x14ac:dyDescent="0.45">
      <c r="B315" s="1">
        <v>1</v>
      </c>
    </row>
    <row r="316" spans="1:5" x14ac:dyDescent="0.45">
      <c r="B316" s="1">
        <v>1</v>
      </c>
    </row>
    <row r="317" spans="1:5" x14ac:dyDescent="0.45">
      <c r="B317" s="1">
        <v>1</v>
      </c>
    </row>
    <row r="318" spans="1:5" x14ac:dyDescent="0.45">
      <c r="B318" s="1">
        <v>1</v>
      </c>
    </row>
    <row r="319" spans="1:5" x14ac:dyDescent="0.45">
      <c r="B319" s="1">
        <v>1</v>
      </c>
      <c r="C319" s="1">
        <v>1</v>
      </c>
    </row>
    <row r="320" spans="1:5" x14ac:dyDescent="0.45">
      <c r="B320" s="1">
        <v>1</v>
      </c>
    </row>
    <row r="321" spans="1:5" x14ac:dyDescent="0.45">
      <c r="B321" s="1">
        <v>1</v>
      </c>
    </row>
    <row r="323" spans="1:5" x14ac:dyDescent="0.45">
      <c r="A323" t="s">
        <v>30</v>
      </c>
    </row>
    <row r="324" spans="1:5" x14ac:dyDescent="0.45">
      <c r="B324" s="1">
        <v>1</v>
      </c>
      <c r="C324" s="1">
        <v>1</v>
      </c>
      <c r="E324">
        <f>AVERAGE(B324:B338)</f>
        <v>1</v>
      </c>
    </row>
    <row r="325" spans="1:5" x14ac:dyDescent="0.45">
      <c r="B325" s="1">
        <v>1</v>
      </c>
    </row>
    <row r="326" spans="1:5" x14ac:dyDescent="0.45">
      <c r="B326" s="1">
        <v>1</v>
      </c>
    </row>
    <row r="327" spans="1:5" x14ac:dyDescent="0.45">
      <c r="B327" s="1">
        <v>1</v>
      </c>
    </row>
    <row r="328" spans="1:5" x14ac:dyDescent="0.45">
      <c r="B328" s="1">
        <v>1</v>
      </c>
    </row>
    <row r="329" spans="1:5" x14ac:dyDescent="0.45">
      <c r="B329" s="1">
        <v>1</v>
      </c>
    </row>
    <row r="330" spans="1:5" x14ac:dyDescent="0.45">
      <c r="B330" s="1">
        <v>1</v>
      </c>
    </row>
    <row r="331" spans="1:5" x14ac:dyDescent="0.45">
      <c r="B331" s="1">
        <v>1</v>
      </c>
    </row>
    <row r="332" spans="1:5" x14ac:dyDescent="0.45">
      <c r="B332" s="1">
        <v>1</v>
      </c>
    </row>
    <row r="333" spans="1:5" x14ac:dyDescent="0.45">
      <c r="B333" s="1">
        <v>1</v>
      </c>
    </row>
    <row r="334" spans="1:5" x14ac:dyDescent="0.45">
      <c r="B334" s="1">
        <v>1</v>
      </c>
    </row>
    <row r="335" spans="1:5" x14ac:dyDescent="0.45">
      <c r="B335" s="1">
        <v>1</v>
      </c>
    </row>
    <row r="336" spans="1:5" x14ac:dyDescent="0.45">
      <c r="B336" s="1">
        <v>1</v>
      </c>
    </row>
    <row r="337" spans="2:2" x14ac:dyDescent="0.45">
      <c r="B337" s="1">
        <v>1</v>
      </c>
    </row>
    <row r="338" spans="2:2" x14ac:dyDescent="0.45">
      <c r="B338" s="1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亮太 新開</dc:creator>
  <cp:lastModifiedBy>新開　亮太</cp:lastModifiedBy>
  <dcterms:created xsi:type="dcterms:W3CDTF">2025-10-29T06:38:43Z</dcterms:created>
  <dcterms:modified xsi:type="dcterms:W3CDTF">2025-11-26T07:08:43Z</dcterms:modified>
</cp:coreProperties>
</file>